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Budget_2026" sheetId="2" state="visible" r:id="rId4"/>
    <sheet name="Reel_2026" sheetId="3" state="visible" r:id="rId5"/>
    <sheet name="Reel_2025" sheetId="4" state="visible" r:id="rId6"/>
    <sheet name="Ventes_Detail" sheetId="5" state="visible" r:id="rId7"/>
    <sheet name="Creances_Clients" sheetId="6" state="visible" r:id="rId8"/>
    <sheet name="Tresorerie" sheetId="7" state="visible" r:id="rId9"/>
    <sheet name="Hypotheses" sheetId="8" state="visible" r:id="rId10"/>
  </sheets>
  <definedNames>
    <definedName function="false" hidden="true" localSheetId="5" name="_xlnm._FilterDatabase" vbProcedure="false">Creances_Clients!$A$1:$G$251</definedName>
    <definedName function="false" hidden="true" localSheetId="4" name="_xlnm._FilterDatabase" vbProcedure="false">Ventes_Detail!$A$1:$K$1080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<sst xmlns="http://schemas.openxmlformats.org/spreadsheetml/2006/main" count="6065" uniqueCount="1200">
  <si>
    <t xml:space="preserve">Les Délices de Bourgogne SAS — Jeu de données CFO Cockpit</t>
  </si>
  <si>
    <t xml:space="preserve">Société fictive (données de démonstration). Exercice 2026, clos au 31/12. Situation arrêtée au 30/09/2026.</t>
  </si>
  <si>
    <t xml:space="preserve">Onglets</t>
  </si>
  <si>
    <t xml:space="preserve">Budget_2026 — Budget mensuel janv.–déc. (CA par gamme, coûts, charges, EBITDA).</t>
  </si>
  <si>
    <t xml:space="preserve">Reel_2026 — Compte de résultat réel janv.–sept. (export comptable). Oct.–déc. à prévoir (forecast).</t>
  </si>
  <si>
    <t xml:space="preserve">Reel_2025 — Réalisé N-1 mensuel, utile pour la saisonnalité du forecast T4.</t>
  </si>
  <si>
    <t xml:space="preserve">Ventes_Detail — Détail des factures de ventes janv.–sept. 2026 (montants HT, coût de revient).</t>
  </si>
  <si>
    <t xml:space="preserve">Creances_Clients — Factures clients non réglées au 30/09/2026 (montants TTC).</t>
  </si>
  <si>
    <t xml:space="preserve">Tresorerie — Flux de trésorerie mensuels réels janv.–sept. 2026.</t>
  </si>
  <si>
    <t xml:space="preserve">Hypotheses — Taux d'IS, délais de paiement, paramètres utiles aux simulations.</t>
  </si>
  <si>
    <t xml:space="preserve">Conventions</t>
  </si>
  <si>
    <t xml:space="preserve">Montants en euros. Charges saisies en positif. Cellules bleues = données saisies, noires = formules.</t>
  </si>
  <si>
    <t xml:space="preserve">Poste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</si>
  <si>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</si>
  <si>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</si>
  <si>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</si>
  <si>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</si>
  <si>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</si>
  <si>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</si>
  <si>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</si>
  <si>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</si>
  <si>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</si>
  <si>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</si>
  <si>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</si>
  <si>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</si>
  <si>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Total</t>
  </si>
  <si>
    <t xml:space="preserve">CA Moutardes</t>
  </si>
  <si>
    <t xml:space="preserve">CA Pain d'épices</t>
  </si>
  <si>
    <t xml:space="preserve">CA Crèmes de cassis</t>
  </si>
  <si>
    <t xml:space="preserve">CA Condiments</t>
  </si>
  <si>
    <t xml:space="preserve">Chiffre d'affaires total</t>
  </si>
  <si>
    <t xml:space="preserve">Coût des ventes</t>
  </si>
  <si>
    <t xml:space="preserve">Marge brute</t>
  </si>
  <si>
    <t xml:space="preserve">Taux de marge brute</t>
  </si>
  <si>
    <t xml:space="preserve">Frais de personnel</t>
  </si>
  <si>
    <t xml:space="preserve">Loyers &amp; charges locatives</t>
  </si>
  <si>
    <t xml:space="preserve">Transport &amp; logistique</t>
  </si>
  <si>
    <t xml:space="preserve">Marketing &amp; commercial</t>
  </si>
  <si>
    <t xml:space="preserve">Autres charges externes</t>
  </si>
  <si>
    <t xml:space="preserve">Total charges d'exploitation</t>
  </si>
  <si>
    <t xml:space="preserve">EBITDA</t>
  </si>
  <si>
    <t xml:space="preserve">Taux d'EBITDA</t>
  </si>
  <si>
    <t xml:space="preserve">Dotations aux amortissements</t>
  </si>
  <si>
    <t xml:space="preserve">Résultat d'exploitation (EBIT)</t>
  </si>
  <si>
    <t xml:space="preserve">Date</t>
  </si>
  <si>
    <t xml:space="preserve">N° facture</t>
  </si>
  <si>
    <t xml:space="preserve">Client</t>
  </si>
  <si>
    <t xml:space="preserve">Région</t>
  </si>
  <si>
    <t xml:space="preserve">Gamme</t>
  </si>
  <si>
    <t xml:space="preserve">Produit</t>
  </si>
  <si>
    <t xml:space="preserve">Quantité</t>
  </si>
  <si>
    <t xml:space="preserve">Prix unitaire HT</t>
  </si>
  <si>
    <t xml:space="preserve">CA HT</t>
  </si>
  <si>
    <t xml:space="preserve">Coût de revient</t>
  </si>
  <si>
    <t xml:space="preserve">Marge</t>
  </si>
  <si>
    <t xml:space="preserve">FA-26029</t>
  </si>
  <si>
    <t xml:space="preserve">Fine Food Export UK</t>
  </si>
  <si>
    <t xml:space="preserve">Export</t>
  </si>
  <si>
    <t xml:space="preserve">Moutardes</t>
  </si>
  <si>
    <t xml:space="preserve">Moutarde au cassis 200g</t>
  </si>
  <si>
    <t xml:space="preserve">FA-26031</t>
  </si>
  <si>
    <t xml:space="preserve">Moutarde Dijon seau 5kg CHR</t>
  </si>
  <si>
    <t xml:space="preserve">FA-26064</t>
  </si>
  <si>
    <t xml:space="preserve">E.Leclerc</t>
  </si>
  <si>
    <t xml:space="preserve">National</t>
  </si>
  <si>
    <t xml:space="preserve">Crèmes de cassis</t>
  </si>
  <si>
    <t xml:space="preserve">Coffret Kir royal</t>
  </si>
  <si>
    <t xml:space="preserve">FA-26109</t>
  </si>
  <si>
    <t xml:space="preserve">Grande Épicerie de Paris</t>
  </si>
  <si>
    <t xml:space="preserve">Île-de-France</t>
  </si>
  <si>
    <t xml:space="preserve">Condiments</t>
  </si>
  <si>
    <t xml:space="preserve">Cornichons extra-fins 370g</t>
  </si>
  <si>
    <t xml:space="preserve">FA-26010</t>
  </si>
  <si>
    <t xml:space="preserve">Metro Cash &amp; Carry</t>
  </si>
  <si>
    <t xml:space="preserve">FA-26041</t>
  </si>
  <si>
    <t xml:space="preserve">Pain d'épices</t>
  </si>
  <si>
    <t xml:space="preserve">Nonnettes x6</t>
  </si>
  <si>
    <t xml:space="preserve">FA-26050</t>
  </si>
  <si>
    <t xml:space="preserve">Pain d'épices miel-orange 400g</t>
  </si>
  <si>
    <t xml:space="preserve">FA-26056</t>
  </si>
  <si>
    <t xml:space="preserve">FA-26006</t>
  </si>
  <si>
    <t xml:space="preserve">Carrefour</t>
  </si>
  <si>
    <t xml:space="preserve">FA-26039</t>
  </si>
  <si>
    <t xml:space="preserve">Pain d'épices nature 300g</t>
  </si>
  <si>
    <t xml:space="preserve">FA-26053</t>
  </si>
  <si>
    <t xml:space="preserve">Galeries Lafayette Gourmet</t>
  </si>
  <si>
    <t xml:space="preserve">FA-26074</t>
  </si>
  <si>
    <t xml:space="preserve">Intermarché</t>
  </si>
  <si>
    <t xml:space="preserve">Crème de cassis 50cl</t>
  </si>
  <si>
    <t xml:space="preserve">FA-26102</t>
  </si>
  <si>
    <t xml:space="preserve">Mayonnaise moutardée 235g</t>
  </si>
  <si>
    <t xml:space="preserve">FA-26108</t>
  </si>
  <si>
    <t xml:space="preserve">Vinaigre de vin 50cl</t>
  </si>
  <si>
    <t xml:space="preserve">FA-26014</t>
  </si>
  <si>
    <t xml:space="preserve">Auchan</t>
  </si>
  <si>
    <t xml:space="preserve">Hauts-de-France</t>
  </si>
  <si>
    <t xml:space="preserve">Moutarde de Dijon 210g</t>
  </si>
  <si>
    <t xml:space="preserve">FA-26022</t>
  </si>
  <si>
    <t xml:space="preserve">FA-26035</t>
  </si>
  <si>
    <t xml:space="preserve">Costco France</t>
  </si>
  <si>
    <t xml:space="preserve">FA-26038</t>
  </si>
  <si>
    <t xml:space="preserve">FA-26071</t>
  </si>
  <si>
    <t xml:space="preserve">FA-26072</t>
  </si>
  <si>
    <t xml:space="preserve">Crème de cassis 70cl</t>
  </si>
  <si>
    <t xml:space="preserve">FA-26093</t>
  </si>
  <si>
    <t xml:space="preserve">FA-26013</t>
  </si>
  <si>
    <t xml:space="preserve">FA-26017</t>
  </si>
  <si>
    <t xml:space="preserve">FA-26025</t>
  </si>
  <si>
    <t xml:space="preserve">FA-26070</t>
  </si>
  <si>
    <t xml:space="preserve">FA-26076</t>
  </si>
  <si>
    <t xml:space="preserve">FA-26089</t>
  </si>
  <si>
    <t xml:space="preserve">FA-26030</t>
  </si>
  <si>
    <t xml:space="preserve">FA-26043</t>
  </si>
  <si>
    <t xml:space="preserve">FA-26052</t>
  </si>
  <si>
    <t xml:space="preserve">FA-26079</t>
  </si>
  <si>
    <t xml:space="preserve">Monoprix</t>
  </si>
  <si>
    <t xml:space="preserve">FA-26021</t>
  </si>
  <si>
    <t xml:space="preserve">Moutarde à l'ancienne 350g</t>
  </si>
  <si>
    <t xml:space="preserve">FA-26024</t>
  </si>
  <si>
    <t xml:space="preserve">FA-26058</t>
  </si>
  <si>
    <t xml:space="preserve">FA-26098</t>
  </si>
  <si>
    <t xml:space="preserve">FA-26032</t>
  </si>
  <si>
    <t xml:space="preserve">FA-26047</t>
  </si>
  <si>
    <t xml:space="preserve">FA-26068</t>
  </si>
  <si>
    <t xml:space="preserve">FA-26087</t>
  </si>
  <si>
    <t xml:space="preserve">FA-26066</t>
  </si>
  <si>
    <t xml:space="preserve">FA-26062</t>
  </si>
  <si>
    <t xml:space="preserve">FA-26028</t>
  </si>
  <si>
    <t xml:space="preserve">FA-26067</t>
  </si>
  <si>
    <t xml:space="preserve">FA-26095</t>
  </si>
  <si>
    <t xml:space="preserve">FA-26100</t>
  </si>
  <si>
    <t xml:space="preserve">FA-26115</t>
  </si>
  <si>
    <t xml:space="preserve">FA-26005</t>
  </si>
  <si>
    <t xml:space="preserve">FA-26026</t>
  </si>
  <si>
    <t xml:space="preserve">FA-26036</t>
  </si>
  <si>
    <t xml:space="preserve">FA-26037</t>
  </si>
  <si>
    <t xml:space="preserve">FA-26060</t>
  </si>
  <si>
    <t xml:space="preserve">FA-26099</t>
  </si>
  <si>
    <t xml:space="preserve">FA-26016</t>
  </si>
  <si>
    <t xml:space="preserve">FA-26084</t>
  </si>
  <si>
    <t xml:space="preserve">FA-26086</t>
  </si>
  <si>
    <t xml:space="preserve">FA-26107</t>
  </si>
  <si>
    <t xml:space="preserve">FA-26114</t>
  </si>
  <si>
    <t xml:space="preserve">FA-26008</t>
  </si>
  <si>
    <t xml:space="preserve">FA-26069</t>
  </si>
  <si>
    <t xml:space="preserve">FA-26101</t>
  </si>
  <si>
    <t xml:space="preserve">FA-26015</t>
  </si>
  <si>
    <t xml:space="preserve">FA-26001</t>
  </si>
  <si>
    <t xml:space="preserve">FA-26019</t>
  </si>
  <si>
    <t xml:space="preserve">FA-26057</t>
  </si>
  <si>
    <t xml:space="preserve">FA-26077</t>
  </si>
  <si>
    <t xml:space="preserve">FA-26092</t>
  </si>
  <si>
    <t xml:space="preserve">FA-26004</t>
  </si>
  <si>
    <t xml:space="preserve">FA-26027</t>
  </si>
  <si>
    <t xml:space="preserve">FA-26042</t>
  </si>
  <si>
    <t xml:space="preserve">FA-26045</t>
  </si>
  <si>
    <t xml:space="preserve">FA-26097</t>
  </si>
  <si>
    <t xml:space="preserve">FA-26011</t>
  </si>
  <si>
    <t xml:space="preserve">FA-26023</t>
  </si>
  <si>
    <t xml:space="preserve">FA-26034</t>
  </si>
  <si>
    <t xml:space="preserve">FA-26063</t>
  </si>
  <si>
    <t xml:space="preserve">FA-26081</t>
  </si>
  <si>
    <t xml:space="preserve">FA-26044</t>
  </si>
  <si>
    <t xml:space="preserve">FA-26061</t>
  </si>
  <si>
    <t xml:space="preserve">FA-26009</t>
  </si>
  <si>
    <t xml:space="preserve">FA-26033</t>
  </si>
  <si>
    <t xml:space="preserve">FA-26078</t>
  </si>
  <si>
    <t xml:space="preserve">FA-26082</t>
  </si>
  <si>
    <t xml:space="preserve">FA-26094</t>
  </si>
  <si>
    <t xml:space="preserve">FA-26104</t>
  </si>
  <si>
    <t xml:space="preserve">FA-26054</t>
  </si>
  <si>
    <t xml:space="preserve">FA-26075</t>
  </si>
  <si>
    <t xml:space="preserve">FA-26018</t>
  </si>
  <si>
    <t xml:space="preserve">FA-26046</t>
  </si>
  <si>
    <t xml:space="preserve">FA-26051</t>
  </si>
  <si>
    <t xml:space="preserve">FA-26065</t>
  </si>
  <si>
    <t xml:space="preserve">FA-26105</t>
  </si>
  <si>
    <t xml:space="preserve">FA-26110</t>
  </si>
  <si>
    <t xml:space="preserve">FA-26007</t>
  </si>
  <si>
    <t xml:space="preserve">FA-26012</t>
  </si>
  <si>
    <t xml:space="preserve">FA-26080</t>
  </si>
  <si>
    <t xml:space="preserve">FA-26088</t>
  </si>
  <si>
    <t xml:space="preserve">FA-26096</t>
  </si>
  <si>
    <t xml:space="preserve">FA-26106</t>
  </si>
  <si>
    <t xml:space="preserve">FA-26111</t>
  </si>
  <si>
    <t xml:space="preserve">FA-26055</t>
  </si>
  <si>
    <t xml:space="preserve">FA-26090</t>
  </si>
  <si>
    <t xml:space="preserve">FA-26020</t>
  </si>
  <si>
    <t xml:space="preserve">FA-26040</t>
  </si>
  <si>
    <t xml:space="preserve">FA-26049</t>
  </si>
  <si>
    <t xml:space="preserve">FA-26002</t>
  </si>
  <si>
    <t xml:space="preserve">FA-26003</t>
  </si>
  <si>
    <t xml:space="preserve">FA-26048</t>
  </si>
  <si>
    <t xml:space="preserve">FA-26059</t>
  </si>
  <si>
    <t xml:space="preserve">FA-26073</t>
  </si>
  <si>
    <t xml:space="preserve">FA-26083</t>
  </si>
  <si>
    <t xml:space="preserve">FA-26091</t>
  </si>
  <si>
    <t xml:space="preserve">FA-26113</t>
  </si>
  <si>
    <t xml:space="preserve">FA-26103</t>
  </si>
  <si>
    <t xml:space="preserve">FA-26112</t>
  </si>
  <si>
    <t xml:space="preserve">FA-26085</t>
  </si>
  <si>
    <t xml:space="preserve">FA-26133</t>
  </si>
  <si>
    <t xml:space="preserve">FA-26143</t>
  </si>
  <si>
    <t xml:space="preserve">FA-26167</t>
  </si>
  <si>
    <t xml:space="preserve">FA-26184</t>
  </si>
  <si>
    <t xml:space="preserve">FA-26116</t>
  </si>
  <si>
    <t xml:space="preserve">FA-26160</t>
  </si>
  <si>
    <t xml:space="preserve">FA-26175</t>
  </si>
  <si>
    <t xml:space="preserve">FA-26182</t>
  </si>
  <si>
    <t xml:space="preserve">FA-26188</t>
  </si>
  <si>
    <t xml:space="preserve">FA-26127</t>
  </si>
  <si>
    <t xml:space="preserve">FA-26157</t>
  </si>
  <si>
    <t xml:space="preserve">FA-26179</t>
  </si>
  <si>
    <t xml:space="preserve">FA-26201</t>
  </si>
  <si>
    <t xml:space="preserve">FA-26236</t>
  </si>
  <si>
    <t xml:space="preserve">FA-26140</t>
  </si>
  <si>
    <t xml:space="preserve">FA-26147</t>
  </si>
  <si>
    <t xml:space="preserve">FA-26209</t>
  </si>
  <si>
    <t xml:space="preserve">FA-26212</t>
  </si>
  <si>
    <t xml:space="preserve">FA-26205</t>
  </si>
  <si>
    <t xml:space="preserve">FA-26223</t>
  </si>
  <si>
    <t xml:space="preserve">FA-26117</t>
  </si>
  <si>
    <t xml:space="preserve">FA-26124</t>
  </si>
  <si>
    <t xml:space="preserve">FA-26172</t>
  </si>
  <si>
    <t xml:space="preserve">FA-26194</t>
  </si>
  <si>
    <t xml:space="preserve">FA-26197</t>
  </si>
  <si>
    <t xml:space="preserve">FA-26203</t>
  </si>
  <si>
    <t xml:space="preserve">FA-26217</t>
  </si>
  <si>
    <t xml:space="preserve">FA-26125</t>
  </si>
  <si>
    <t xml:space="preserve">FA-26131</t>
  </si>
  <si>
    <t xml:space="preserve">FA-26141</t>
  </si>
  <si>
    <t xml:space="preserve">FA-26148</t>
  </si>
  <si>
    <t xml:space="preserve">FA-26159</t>
  </si>
  <si>
    <t xml:space="preserve">FA-26177</t>
  </si>
  <si>
    <t xml:space="preserve">FA-26178</t>
  </si>
  <si>
    <t xml:space="preserve">FA-26181</t>
  </si>
  <si>
    <t xml:space="preserve">FA-26192</t>
  </si>
  <si>
    <t xml:space="preserve">FA-26208</t>
  </si>
  <si>
    <t xml:space="preserve">FA-26216</t>
  </si>
  <si>
    <t xml:space="preserve">FA-26228</t>
  </si>
  <si>
    <t xml:space="preserve">FA-26240</t>
  </si>
  <si>
    <t xml:space="preserve">FA-26120</t>
  </si>
  <si>
    <t xml:space="preserve">FA-26135</t>
  </si>
  <si>
    <t xml:space="preserve">FA-26213</t>
  </si>
  <si>
    <t xml:space="preserve">FA-26224</t>
  </si>
  <si>
    <t xml:space="preserve">FA-26229</t>
  </si>
  <si>
    <t xml:space="preserve">FA-26132</t>
  </si>
  <si>
    <t xml:space="preserve">FA-26165</t>
  </si>
  <si>
    <t xml:space="preserve">FA-26176</t>
  </si>
  <si>
    <t xml:space="preserve">FA-26187</t>
  </si>
  <si>
    <t xml:space="preserve">FA-26195</t>
  </si>
  <si>
    <t xml:space="preserve">FA-26219</t>
  </si>
  <si>
    <t xml:space="preserve">FA-26122</t>
  </si>
  <si>
    <t xml:space="preserve">FA-26152</t>
  </si>
  <si>
    <t xml:space="preserve">FA-26191</t>
  </si>
  <si>
    <t xml:space="preserve">FA-26200</t>
  </si>
  <si>
    <t xml:space="preserve">FA-26242</t>
  </si>
  <si>
    <t xml:space="preserve">FA-26164</t>
  </si>
  <si>
    <t xml:space="preserve">FA-26118</t>
  </si>
  <si>
    <t xml:space="preserve">FA-26142</t>
  </si>
  <si>
    <t xml:space="preserve">FA-26149</t>
  </si>
  <si>
    <t xml:space="preserve">FA-26150</t>
  </si>
  <si>
    <t xml:space="preserve">FA-26170</t>
  </si>
  <si>
    <t xml:space="preserve">FA-26171</t>
  </si>
  <si>
    <t xml:space="preserve">FA-26185</t>
  </si>
  <si>
    <t xml:space="preserve">FA-26211</t>
  </si>
  <si>
    <t xml:space="preserve">FA-26126</t>
  </si>
  <si>
    <t xml:space="preserve">FA-26137</t>
  </si>
  <si>
    <t xml:space="preserve">FA-26145</t>
  </si>
  <si>
    <t xml:space="preserve">FA-26174</t>
  </si>
  <si>
    <t xml:space="preserve">FA-26202</t>
  </si>
  <si>
    <t xml:space="preserve">FA-26225</t>
  </si>
  <si>
    <t xml:space="preserve">FA-26234</t>
  </si>
  <si>
    <t xml:space="preserve">FA-26153</t>
  </si>
  <si>
    <t xml:space="preserve">FA-26158</t>
  </si>
  <si>
    <t xml:space="preserve">FA-26206</t>
  </si>
  <si>
    <t xml:space="preserve">FA-26214</t>
  </si>
  <si>
    <t xml:space="preserve">FA-26138</t>
  </si>
  <si>
    <t xml:space="preserve">FA-26155</t>
  </si>
  <si>
    <t xml:space="preserve">FA-26233</t>
  </si>
  <si>
    <t xml:space="preserve">FA-26121</t>
  </si>
  <si>
    <t xml:space="preserve">FA-26186</t>
  </si>
  <si>
    <t xml:space="preserve">FA-26218</t>
  </si>
  <si>
    <t xml:space="preserve">FA-26232</t>
  </si>
  <si>
    <t xml:space="preserve">FA-26134</t>
  </si>
  <si>
    <t xml:space="preserve">FA-26144</t>
  </si>
  <si>
    <t xml:space="preserve">FA-26151</t>
  </si>
  <si>
    <t xml:space="preserve">FA-26198</t>
  </si>
  <si>
    <t xml:space="preserve">FA-26199</t>
  </si>
  <si>
    <t xml:space="preserve">FA-26154</t>
  </si>
  <si>
    <t xml:space="preserve">FA-26204</t>
  </si>
  <si>
    <t xml:space="preserve">FA-26210</t>
  </si>
  <si>
    <t xml:space="preserve">FA-26220</t>
  </si>
  <si>
    <t xml:space="preserve">FA-26230</t>
  </si>
  <si>
    <t xml:space="preserve">FA-26222</t>
  </si>
  <si>
    <t xml:space="preserve">FA-26128</t>
  </si>
  <si>
    <t xml:space="preserve">FA-26162</t>
  </si>
  <si>
    <t xml:space="preserve">FA-26190</t>
  </si>
  <si>
    <t xml:space="preserve">FA-26166</t>
  </si>
  <si>
    <t xml:space="preserve">FA-26183</t>
  </si>
  <si>
    <t xml:space="preserve">FA-26215</t>
  </si>
  <si>
    <t xml:space="preserve">FA-26243</t>
  </si>
  <si>
    <t xml:space="preserve">FA-26139</t>
  </si>
  <si>
    <t xml:space="preserve">FA-26156</t>
  </si>
  <si>
    <t xml:space="preserve">FA-26163</t>
  </si>
  <si>
    <t xml:space="preserve">FA-26168</t>
  </si>
  <si>
    <t xml:space="preserve">FA-26169</t>
  </si>
  <si>
    <t xml:space="preserve">FA-26173</t>
  </si>
  <si>
    <t xml:space="preserve">FA-26189</t>
  </si>
  <si>
    <t xml:space="preserve">FA-26231</t>
  </si>
  <si>
    <t xml:space="preserve">FA-26130</t>
  </si>
  <si>
    <t xml:space="preserve">FA-26136</t>
  </si>
  <si>
    <t xml:space="preserve">FA-26146</t>
  </si>
  <si>
    <t xml:space="preserve">FA-26193</t>
  </si>
  <si>
    <t xml:space="preserve">FA-26235</t>
  </si>
  <si>
    <t xml:space="preserve">FA-26129</t>
  </si>
  <si>
    <t xml:space="preserve">FA-26196</t>
  </si>
  <si>
    <t xml:space="preserve">FA-26238</t>
  </si>
  <si>
    <t xml:space="preserve">FA-26119</t>
  </si>
  <si>
    <t xml:space="preserve">FA-26207</t>
  </si>
  <si>
    <t xml:space="preserve">FA-26226</t>
  </si>
  <si>
    <t xml:space="preserve">FA-26237</t>
  </si>
  <si>
    <t xml:space="preserve">FA-26221</t>
  </si>
  <si>
    <t xml:space="preserve">FA-26239</t>
  </si>
  <si>
    <t xml:space="preserve">FA-26123</t>
  </si>
  <si>
    <t xml:space="preserve">FA-26161</t>
  </si>
  <si>
    <t xml:space="preserve">FA-26180</t>
  </si>
  <si>
    <t xml:space="preserve">FA-26227</t>
  </si>
  <si>
    <t xml:space="preserve">FA-26241</t>
  </si>
  <si>
    <t xml:space="preserve">FA-26261</t>
  </si>
  <si>
    <t xml:space="preserve">FA-26268</t>
  </si>
  <si>
    <t xml:space="preserve">FA-26309</t>
  </si>
  <si>
    <t xml:space="preserve">FA-26333</t>
  </si>
  <si>
    <t xml:space="preserve">FA-26252</t>
  </si>
  <si>
    <t xml:space="preserve">FA-26267</t>
  </si>
  <si>
    <t xml:space="preserve">FA-26283</t>
  </si>
  <si>
    <t xml:space="preserve">FA-26285</t>
  </si>
  <si>
    <t xml:space="preserve">FA-26292</t>
  </si>
  <si>
    <t xml:space="preserve">FA-26318</t>
  </si>
  <si>
    <t xml:space="preserve">FA-26355</t>
  </si>
  <si>
    <t xml:space="preserve">FA-26286</t>
  </si>
  <si>
    <t xml:space="preserve">FA-26294</t>
  </si>
  <si>
    <t xml:space="preserve">FA-26335</t>
  </si>
  <si>
    <t xml:space="preserve">FA-26272</t>
  </si>
  <si>
    <t xml:space="preserve">FA-26341</t>
  </si>
  <si>
    <t xml:space="preserve">FA-26258</t>
  </si>
  <si>
    <t xml:space="preserve">FA-26264</t>
  </si>
  <si>
    <t xml:space="preserve">FA-26295</t>
  </si>
  <si>
    <t xml:space="preserve">FA-26316</t>
  </si>
  <si>
    <t xml:space="preserve">FA-26332</t>
  </si>
  <si>
    <t xml:space="preserve">FA-26270</t>
  </si>
  <si>
    <t xml:space="preserve">FA-26308</t>
  </si>
  <si>
    <t xml:space="preserve">FA-26328</t>
  </si>
  <si>
    <t xml:space="preserve">FA-26334</t>
  </si>
  <si>
    <t xml:space="preserve">FA-26337</t>
  </si>
  <si>
    <t xml:space="preserve">FA-26353</t>
  </si>
  <si>
    <t xml:space="preserve">FA-26356</t>
  </si>
  <si>
    <t xml:space="preserve">FA-26247</t>
  </si>
  <si>
    <t xml:space="preserve">FA-26273</t>
  </si>
  <si>
    <t xml:space="preserve">FA-26276</t>
  </si>
  <si>
    <t xml:space="preserve">FA-26302</t>
  </si>
  <si>
    <t xml:space="preserve">FA-26307</t>
  </si>
  <si>
    <t xml:space="preserve">FA-26327</t>
  </si>
  <si>
    <t xml:space="preserve">FA-26275</t>
  </si>
  <si>
    <t xml:space="preserve">FA-26298</t>
  </si>
  <si>
    <t xml:space="preserve">FA-26325</t>
  </si>
  <si>
    <t xml:space="preserve">FA-26312</t>
  </si>
  <si>
    <t xml:space="preserve">FA-26251</t>
  </si>
  <si>
    <t xml:space="preserve">FA-26266</t>
  </si>
  <si>
    <t xml:space="preserve">FA-26289</t>
  </si>
  <si>
    <t xml:space="preserve">FA-26293</t>
  </si>
  <si>
    <t xml:space="preserve">FA-26296</t>
  </si>
  <si>
    <t xml:space="preserve">FA-26304</t>
  </si>
  <si>
    <t xml:space="preserve">FA-26339</t>
  </si>
  <si>
    <t xml:space="preserve">FA-26280</t>
  </si>
  <si>
    <t xml:space="preserve">FA-26320</t>
  </si>
  <si>
    <t xml:space="preserve">FA-26336</t>
  </si>
  <si>
    <t xml:space="preserve">FA-26352</t>
  </si>
  <si>
    <t xml:space="preserve">FA-26263</t>
  </si>
  <si>
    <t xml:space="preserve">FA-26281</t>
  </si>
  <si>
    <t xml:space="preserve">FA-26290</t>
  </si>
  <si>
    <t xml:space="preserve">FA-26299</t>
  </si>
  <si>
    <t xml:space="preserve">FA-26315</t>
  </si>
  <si>
    <t xml:space="preserve">FA-26342</t>
  </si>
  <si>
    <t xml:space="preserve">FA-26349</t>
  </si>
  <si>
    <t xml:space="preserve">FA-26279</t>
  </si>
  <si>
    <t xml:space="preserve">FA-26291</t>
  </si>
  <si>
    <t xml:space="preserve">FA-26321</t>
  </si>
  <si>
    <t xml:space="preserve">FA-26256</t>
  </si>
  <si>
    <t xml:space="preserve">FA-26306</t>
  </si>
  <si>
    <t xml:space="preserve">FA-26329</t>
  </si>
  <si>
    <t xml:space="preserve">FA-26260</t>
  </si>
  <si>
    <t xml:space="preserve">FA-26310</t>
  </si>
  <si>
    <t xml:space="preserve">FA-26338</t>
  </si>
  <si>
    <t xml:space="preserve">FA-26303</t>
  </si>
  <si>
    <t xml:space="preserve">FA-26246</t>
  </si>
  <si>
    <t xml:space="preserve">FA-26354</t>
  </si>
  <si>
    <t xml:space="preserve">FA-26277</t>
  </si>
  <si>
    <t xml:space="preserve">FA-26282</t>
  </si>
  <si>
    <t xml:space="preserve">FA-26357</t>
  </si>
  <si>
    <t xml:space="preserve">FA-26255</t>
  </si>
  <si>
    <t xml:space="preserve">FA-26313</t>
  </si>
  <si>
    <t xml:space="preserve">FA-26359</t>
  </si>
  <si>
    <t xml:space="preserve">FA-26245</t>
  </si>
  <si>
    <t xml:space="preserve">FA-26249</t>
  </si>
  <si>
    <t xml:space="preserve">FA-26257</t>
  </si>
  <si>
    <t xml:space="preserve">FA-26271</t>
  </si>
  <si>
    <t xml:space="preserve">FA-26301</t>
  </si>
  <si>
    <t xml:space="preserve">FA-26322</t>
  </si>
  <si>
    <t xml:space="preserve">FA-26345</t>
  </si>
  <si>
    <t xml:space="preserve">FA-26348</t>
  </si>
  <si>
    <t xml:space="preserve">FA-26350</t>
  </si>
  <si>
    <t xml:space="preserve">FA-26244</t>
  </si>
  <si>
    <t xml:space="preserve">FA-26248</t>
  </si>
  <si>
    <t xml:space="preserve">FA-26278</t>
  </si>
  <si>
    <t xml:space="preserve">FA-26297</t>
  </si>
  <si>
    <t xml:space="preserve">FA-26330</t>
  </si>
  <si>
    <t xml:space="preserve">FA-26265</t>
  </si>
  <si>
    <t xml:space="preserve">FA-26300</t>
  </si>
  <si>
    <t xml:space="preserve">FA-26314</t>
  </si>
  <si>
    <t xml:space="preserve">FA-26343</t>
  </si>
  <si>
    <t xml:space="preserve">FA-26346</t>
  </si>
  <si>
    <t xml:space="preserve">FA-26254</t>
  </si>
  <si>
    <t xml:space="preserve">FA-26259</t>
  </si>
  <si>
    <t xml:space="preserve">FA-26311</t>
  </si>
  <si>
    <t xml:space="preserve">FA-26317</t>
  </si>
  <si>
    <t xml:space="preserve">FA-26319</t>
  </si>
  <si>
    <t xml:space="preserve">FA-26253</t>
  </si>
  <si>
    <t xml:space="preserve">FA-26262</t>
  </si>
  <si>
    <t xml:space="preserve">FA-26274</t>
  </si>
  <si>
    <t xml:space="preserve">FA-26284</t>
  </si>
  <si>
    <t xml:space="preserve">FA-26287</t>
  </si>
  <si>
    <t xml:space="preserve">FA-26305</t>
  </si>
  <si>
    <t xml:space="preserve">FA-26324</t>
  </si>
  <si>
    <t xml:space="preserve">FA-26331</t>
  </si>
  <si>
    <t xml:space="preserve">FA-26340</t>
  </si>
  <si>
    <t xml:space="preserve">FA-26323</t>
  </si>
  <si>
    <t xml:space="preserve">FA-26250</t>
  </si>
  <si>
    <t xml:space="preserve">FA-26288</t>
  </si>
  <si>
    <t xml:space="preserve">FA-26326</t>
  </si>
  <si>
    <t xml:space="preserve">FA-26344</t>
  </si>
  <si>
    <t xml:space="preserve">FA-26351</t>
  </si>
  <si>
    <t xml:space="preserve">FA-26269</t>
  </si>
  <si>
    <t xml:space="preserve">FA-26347</t>
  </si>
  <si>
    <t xml:space="preserve">FA-26358</t>
  </si>
  <si>
    <t xml:space="preserve">FA-26407</t>
  </si>
  <si>
    <t xml:space="preserve">FA-26414</t>
  </si>
  <si>
    <t xml:space="preserve">FA-26466</t>
  </si>
  <si>
    <t xml:space="preserve">FA-26420</t>
  </si>
  <si>
    <t xml:space="preserve">FA-26430</t>
  </si>
  <si>
    <t xml:space="preserve">FA-26366</t>
  </si>
  <si>
    <t xml:space="preserve">FA-26370</t>
  </si>
  <si>
    <t xml:space="preserve">FA-26376</t>
  </si>
  <si>
    <t xml:space="preserve">FA-26381</t>
  </si>
  <si>
    <t xml:space="preserve">FA-26403</t>
  </si>
  <si>
    <t xml:space="preserve">FA-26467</t>
  </si>
  <si>
    <t xml:space="preserve">FA-26468</t>
  </si>
  <si>
    <t xml:space="preserve">FA-26475</t>
  </si>
  <si>
    <t xml:space="preserve">FA-26443</t>
  </si>
  <si>
    <t xml:space="preserve">FA-26469</t>
  </si>
  <si>
    <t xml:space="preserve">FA-26450</t>
  </si>
  <si>
    <t xml:space="preserve">FA-26360</t>
  </si>
  <si>
    <t xml:space="preserve">FA-26368</t>
  </si>
  <si>
    <t xml:space="preserve">FA-26371</t>
  </si>
  <si>
    <t xml:space="preserve">FA-26379</t>
  </si>
  <si>
    <t xml:space="preserve">FA-26382</t>
  </si>
  <si>
    <t xml:space="preserve">FA-26398</t>
  </si>
  <si>
    <t xml:space="preserve">FA-26427</t>
  </si>
  <si>
    <t xml:space="preserve">FA-26436</t>
  </si>
  <si>
    <t xml:space="preserve">FA-26387</t>
  </si>
  <si>
    <t xml:space="preserve">FA-26397</t>
  </si>
  <si>
    <t xml:space="preserve">FA-26406</t>
  </si>
  <si>
    <t xml:space="preserve">FA-26365</t>
  </si>
  <si>
    <t xml:space="preserve">FA-26425</t>
  </si>
  <si>
    <t xml:space="preserve">FA-26458</t>
  </si>
  <si>
    <t xml:space="preserve">FA-26472</t>
  </si>
  <si>
    <t xml:space="preserve">FA-26400</t>
  </si>
  <si>
    <t xml:space="preserve">FA-26459</t>
  </si>
  <si>
    <t xml:space="preserve">FA-26473</t>
  </si>
  <si>
    <t xml:space="preserve">FA-26364</t>
  </si>
  <si>
    <t xml:space="preserve">FA-26373</t>
  </si>
  <si>
    <t xml:space="preserve">FA-26415</t>
  </si>
  <si>
    <t xml:space="preserve">FA-26393</t>
  </si>
  <si>
    <t xml:space="preserve">FA-26440</t>
  </si>
  <si>
    <t xml:space="preserve">FA-26444</t>
  </si>
  <si>
    <t xml:space="preserve">FA-26445</t>
  </si>
  <si>
    <t xml:space="preserve">FA-26451</t>
  </si>
  <si>
    <t xml:space="preserve">FA-26470</t>
  </si>
  <si>
    <t xml:space="preserve">FA-26471</t>
  </si>
  <si>
    <t xml:space="preserve">FA-26377</t>
  </si>
  <si>
    <t xml:space="preserve">FA-26386</t>
  </si>
  <si>
    <t xml:space="preserve">FA-26421</t>
  </si>
  <si>
    <t xml:space="preserve">FA-26422</t>
  </si>
  <si>
    <t xml:space="preserve">FA-26464</t>
  </si>
  <si>
    <t xml:space="preserve">FA-26362</t>
  </si>
  <si>
    <t xml:space="preserve">FA-26369</t>
  </si>
  <si>
    <t xml:space="preserve">FA-26385</t>
  </si>
  <si>
    <t xml:space="preserve">FA-26412</t>
  </si>
  <si>
    <t xml:space="preserve">FA-26439</t>
  </si>
  <si>
    <t xml:space="preserve">FA-26446</t>
  </si>
  <si>
    <t xml:space="preserve">FA-26463</t>
  </si>
  <si>
    <t xml:space="preserve">FA-26361</t>
  </si>
  <si>
    <t xml:space="preserve">FA-26401</t>
  </si>
  <si>
    <t xml:space="preserve">FA-26413</t>
  </si>
  <si>
    <t xml:space="preserve">FA-26416</t>
  </si>
  <si>
    <t xml:space="preserve">FA-26453</t>
  </si>
  <si>
    <t xml:space="preserve">FA-26455</t>
  </si>
  <si>
    <t xml:space="preserve">FA-26367</t>
  </si>
  <si>
    <t xml:space="preserve">FA-26388</t>
  </si>
  <si>
    <t xml:space="preserve">FA-26435</t>
  </si>
  <si>
    <t xml:space="preserve">FA-26438</t>
  </si>
  <si>
    <t xml:space="preserve">FA-26452</t>
  </si>
  <si>
    <t xml:space="preserve">FA-26378</t>
  </si>
  <si>
    <t xml:space="preserve">FA-26391</t>
  </si>
  <si>
    <t xml:space="preserve">FA-26419</t>
  </si>
  <si>
    <t xml:space="preserve">FA-26432</t>
  </si>
  <si>
    <t xml:space="preserve">FA-26447</t>
  </si>
  <si>
    <t xml:space="preserve">FA-26478</t>
  </si>
  <si>
    <t xml:space="preserve">FA-26402</t>
  </si>
  <si>
    <t xml:space="preserve">FA-26423</t>
  </si>
  <si>
    <t xml:space="preserve">FA-26476</t>
  </si>
  <si>
    <t xml:space="preserve">FA-26477</t>
  </si>
  <si>
    <t xml:space="preserve">FA-26479</t>
  </si>
  <si>
    <t xml:space="preserve">FA-26383</t>
  </si>
  <si>
    <t xml:space="preserve">FA-26394</t>
  </si>
  <si>
    <t xml:space="preserve">FA-26474</t>
  </si>
  <si>
    <t xml:space="preserve">FA-26392</t>
  </si>
  <si>
    <t xml:space="preserve">FA-26405</t>
  </si>
  <si>
    <t xml:space="preserve">FA-26449</t>
  </si>
  <si>
    <t xml:space="preserve">FA-26457</t>
  </si>
  <si>
    <t xml:space="preserve">FA-26460</t>
  </si>
  <si>
    <t xml:space="preserve">FA-26428</t>
  </si>
  <si>
    <t xml:space="preserve">FA-26433</t>
  </si>
  <si>
    <t xml:space="preserve">FA-26454</t>
  </si>
  <si>
    <t xml:space="preserve">FA-26374</t>
  </si>
  <si>
    <t xml:space="preserve">FA-26380</t>
  </si>
  <si>
    <t xml:space="preserve">FA-26396</t>
  </si>
  <si>
    <t xml:space="preserve">FA-26404</t>
  </si>
  <si>
    <t xml:space="preserve">FA-26409</t>
  </si>
  <si>
    <t xml:space="preserve">FA-26417</t>
  </si>
  <si>
    <t xml:space="preserve">FA-26426</t>
  </si>
  <si>
    <t xml:space="preserve">FA-26437</t>
  </si>
  <si>
    <t xml:space="preserve">FA-26441</t>
  </si>
  <si>
    <t xml:space="preserve">FA-26456</t>
  </si>
  <si>
    <t xml:space="preserve">FA-26390</t>
  </si>
  <si>
    <t xml:space="preserve">FA-26411</t>
  </si>
  <si>
    <t xml:space="preserve">FA-26424</t>
  </si>
  <si>
    <t xml:space="preserve">FA-26410</t>
  </si>
  <si>
    <t xml:space="preserve">FA-26363</t>
  </si>
  <si>
    <t xml:space="preserve">FA-26372</t>
  </si>
  <si>
    <t xml:space="preserve">FA-26399</t>
  </si>
  <si>
    <t xml:space="preserve">FA-26429</t>
  </si>
  <si>
    <t xml:space="preserve">FA-26384</t>
  </si>
  <si>
    <t xml:space="preserve">FA-26395</t>
  </si>
  <si>
    <t xml:space="preserve">FA-26408</t>
  </si>
  <si>
    <t xml:space="preserve">FA-26448</t>
  </si>
  <si>
    <t xml:space="preserve">FA-26461</t>
  </si>
  <si>
    <t xml:space="preserve">FA-26462</t>
  </si>
  <si>
    <t xml:space="preserve">FA-26465</t>
  </si>
  <si>
    <t xml:space="preserve">FA-26389</t>
  </si>
  <si>
    <t xml:space="preserve">FA-26434</t>
  </si>
  <si>
    <t xml:space="preserve">FA-26442</t>
  </si>
  <si>
    <t xml:space="preserve">FA-26375</t>
  </si>
  <si>
    <t xml:space="preserve">FA-26418</t>
  </si>
  <si>
    <t xml:space="preserve">FA-26431</t>
  </si>
  <si>
    <t xml:space="preserve">FA-26494</t>
  </si>
  <si>
    <t xml:space="preserve">FA-26513</t>
  </si>
  <si>
    <t xml:space="preserve">FA-26574</t>
  </si>
  <si>
    <t xml:space="preserve">FA-26485</t>
  </si>
  <si>
    <t xml:space="preserve">FA-26525</t>
  </si>
  <si>
    <t xml:space="preserve">FA-26532</t>
  </si>
  <si>
    <t xml:space="preserve">FA-26547</t>
  </si>
  <si>
    <t xml:space="preserve">FA-26571</t>
  </si>
  <si>
    <t xml:space="preserve">FA-26506</t>
  </si>
  <si>
    <t xml:space="preserve">FA-26510</t>
  </si>
  <si>
    <t xml:space="preserve">FA-26518</t>
  </si>
  <si>
    <t xml:space="preserve">FA-26554</t>
  </si>
  <si>
    <t xml:space="preserve">FA-26564</t>
  </si>
  <si>
    <t xml:space="preserve">FA-26597</t>
  </si>
  <si>
    <t xml:space="preserve">FA-26502</t>
  </si>
  <si>
    <t xml:space="preserve">FA-26526</t>
  </si>
  <si>
    <t xml:space="preserve">FA-26601</t>
  </si>
  <si>
    <t xml:space="preserve">FA-26484</t>
  </si>
  <si>
    <t xml:space="preserve">FA-26519</t>
  </si>
  <si>
    <t xml:space="preserve">FA-26531</t>
  </si>
  <si>
    <t xml:space="preserve">FA-26541</t>
  </si>
  <si>
    <t xml:space="preserve">FA-26565</t>
  </si>
  <si>
    <t xml:space="preserve">FA-26481</t>
  </si>
  <si>
    <t xml:space="preserve">FA-26524</t>
  </si>
  <si>
    <t xml:space="preserve">FA-26530</t>
  </si>
  <si>
    <t xml:space="preserve">FA-26569</t>
  </si>
  <si>
    <t xml:space="preserve">FA-26483</t>
  </si>
  <si>
    <t xml:space="preserve">FA-26533</t>
  </si>
  <si>
    <t xml:space="preserve">FA-26535</t>
  </si>
  <si>
    <t xml:space="preserve">FA-26546</t>
  </si>
  <si>
    <t xml:space="preserve">FA-26560</t>
  </si>
  <si>
    <t xml:space="preserve">FA-26500</t>
  </si>
  <si>
    <t xml:space="preserve">FA-26534</t>
  </si>
  <si>
    <t xml:space="preserve">FA-26552</t>
  </si>
  <si>
    <t xml:space="preserve">FA-26528</t>
  </si>
  <si>
    <t xml:space="preserve">FA-26551</t>
  </si>
  <si>
    <t xml:space="preserve">FA-26553</t>
  </si>
  <si>
    <t xml:space="preserve">FA-26570</t>
  </si>
  <si>
    <t xml:space="preserve">FA-26594</t>
  </si>
  <si>
    <t xml:space="preserve">FA-26603</t>
  </si>
  <si>
    <t xml:space="preserve">FA-26497</t>
  </si>
  <si>
    <t xml:space="preserve">FA-26512</t>
  </si>
  <si>
    <t xml:space="preserve">FA-26537</t>
  </si>
  <si>
    <t xml:space="preserve">FA-26555</t>
  </si>
  <si>
    <t xml:space="preserve">FA-26568</t>
  </si>
  <si>
    <t xml:space="preserve">FA-26527</t>
  </si>
  <si>
    <t xml:space="preserve">FA-26557</t>
  </si>
  <si>
    <t xml:space="preserve">FA-26558</t>
  </si>
  <si>
    <t xml:space="preserve">FA-26572</t>
  </si>
  <si>
    <t xml:space="preserve">FA-26605</t>
  </si>
  <si>
    <t xml:space="preserve">FA-26487</t>
  </si>
  <si>
    <t xml:space="preserve">FA-26504</t>
  </si>
  <si>
    <t xml:space="preserve">FA-26508</t>
  </si>
  <si>
    <t xml:space="preserve">FA-26529</t>
  </si>
  <si>
    <t xml:space="preserve">FA-26576</t>
  </si>
  <si>
    <t xml:space="preserve">FA-26581</t>
  </si>
  <si>
    <t xml:space="preserve">FA-26492</t>
  </si>
  <si>
    <t xml:space="preserve">FA-26544</t>
  </si>
  <si>
    <t xml:space="preserve">FA-26550</t>
  </si>
  <si>
    <t xml:space="preserve">FA-26579</t>
  </si>
  <si>
    <t xml:space="preserve">FA-26587</t>
  </si>
  <si>
    <t xml:space="preserve">FA-26595</t>
  </si>
  <si>
    <t xml:space="preserve">FA-26599</t>
  </si>
  <si>
    <t xml:space="preserve">FA-26491</t>
  </si>
  <si>
    <t xml:space="preserve">FA-26509</t>
  </si>
  <si>
    <t xml:space="preserve">FA-26517</t>
  </si>
  <si>
    <t xml:space="preserve">FA-26522</t>
  </si>
  <si>
    <t xml:space="preserve">FA-26548</t>
  </si>
  <si>
    <t xml:space="preserve">FA-26563</t>
  </si>
  <si>
    <t xml:space="preserve">FA-26585</t>
  </si>
  <si>
    <t xml:space="preserve">FA-26586</t>
  </si>
  <si>
    <t xml:space="preserve">FA-26602</t>
  </si>
  <si>
    <t xml:space="preserve">FA-26561</t>
  </si>
  <si>
    <t xml:space="preserve">FA-26495</t>
  </si>
  <si>
    <t xml:space="preserve">FA-26496</t>
  </si>
  <si>
    <t xml:space="preserve">FA-26511</t>
  </si>
  <si>
    <t xml:space="preserve">FA-26538</t>
  </si>
  <si>
    <t xml:space="preserve">FA-26549</t>
  </si>
  <si>
    <t xml:space="preserve">FA-26598</t>
  </si>
  <si>
    <t xml:space="preserve">FA-26486</t>
  </si>
  <si>
    <t xml:space="preserve">FA-26498</t>
  </si>
  <si>
    <t xml:space="preserve">FA-26503</t>
  </si>
  <si>
    <t xml:space="preserve">FA-26516</t>
  </si>
  <si>
    <t xml:space="preserve">FA-26521</t>
  </si>
  <si>
    <t xml:space="preserve">FA-26539</t>
  </si>
  <si>
    <t xml:space="preserve">FA-26583</t>
  </si>
  <si>
    <t xml:space="preserve">FA-26536</t>
  </si>
  <si>
    <t xml:space="preserve">FA-26573</t>
  </si>
  <si>
    <t xml:space="preserve">FA-26580</t>
  </si>
  <si>
    <t xml:space="preserve">FA-26582</t>
  </si>
  <si>
    <t xml:space="preserve">FA-26514</t>
  </si>
  <si>
    <t xml:space="preserve">FA-26515</t>
  </si>
  <si>
    <t xml:space="preserve">FA-26523</t>
  </si>
  <si>
    <t xml:space="preserve">FA-26593</t>
  </si>
  <si>
    <t xml:space="preserve">FA-26600</t>
  </si>
  <si>
    <t xml:space="preserve">FA-26542</t>
  </si>
  <si>
    <t xml:space="preserve">FA-26545</t>
  </si>
  <si>
    <t xml:space="preserve">FA-26575</t>
  </si>
  <si>
    <t xml:space="preserve">FA-26577</t>
  </si>
  <si>
    <t xml:space="preserve">FA-26480</t>
  </si>
  <si>
    <t xml:space="preserve">FA-26490</t>
  </si>
  <si>
    <t xml:space="preserve">FA-26604</t>
  </si>
  <si>
    <t xml:space="preserve">FA-26493</t>
  </si>
  <si>
    <t xml:space="preserve">FA-26501</t>
  </si>
  <si>
    <t xml:space="preserve">FA-26556</t>
  </si>
  <si>
    <t xml:space="preserve">FA-26562</t>
  </si>
  <si>
    <t xml:space="preserve">FA-26578</t>
  </si>
  <si>
    <t xml:space="preserve">FA-26590</t>
  </si>
  <si>
    <t xml:space="preserve">FA-26591</t>
  </si>
  <si>
    <t xml:space="preserve">FA-26596</t>
  </si>
  <si>
    <t xml:space="preserve">FA-26489</t>
  </si>
  <si>
    <t xml:space="preserve">FA-26566</t>
  </si>
  <si>
    <t xml:space="preserve">FA-26588</t>
  </si>
  <si>
    <t xml:space="preserve">FA-26592</t>
  </si>
  <si>
    <t xml:space="preserve">FA-26482</t>
  </si>
  <si>
    <t xml:space="preserve">FA-26505</t>
  </si>
  <si>
    <t xml:space="preserve">FA-26507</t>
  </si>
  <si>
    <t xml:space="preserve">FA-26540</t>
  </si>
  <si>
    <t xml:space="preserve">FA-26584</t>
  </si>
  <si>
    <t xml:space="preserve">FA-26488</t>
  </si>
  <si>
    <t xml:space="preserve">FA-26499</t>
  </si>
  <si>
    <t xml:space="preserve">FA-26520</t>
  </si>
  <si>
    <t xml:space="preserve">FA-26543</t>
  </si>
  <si>
    <t xml:space="preserve">FA-26559</t>
  </si>
  <si>
    <t xml:space="preserve">FA-26567</t>
  </si>
  <si>
    <t xml:space="preserve">FA-26589</t>
  </si>
  <si>
    <t xml:space="preserve">FA-26609</t>
  </si>
  <si>
    <t xml:space="preserve">FA-26630</t>
  </si>
  <si>
    <t xml:space="preserve">FA-26649</t>
  </si>
  <si>
    <t xml:space="preserve">FA-26652</t>
  </si>
  <si>
    <t xml:space="preserve">FA-26689</t>
  </si>
  <si>
    <t xml:space="preserve">FA-26703</t>
  </si>
  <si>
    <t xml:space="preserve">FA-26615</t>
  </si>
  <si>
    <t xml:space="preserve">FA-26685</t>
  </si>
  <si>
    <t xml:space="preserve">FA-26712</t>
  </si>
  <si>
    <t xml:space="preserve">FA-26621</t>
  </si>
  <si>
    <t xml:space="preserve">FA-26627</t>
  </si>
  <si>
    <t xml:space="preserve">FA-26634</t>
  </si>
  <si>
    <t xml:space="preserve">FA-26688</t>
  </si>
  <si>
    <t xml:space="preserve">FA-26700</t>
  </si>
  <si>
    <t xml:space="preserve">FA-26710</t>
  </si>
  <si>
    <t xml:space="preserve">FA-26637</t>
  </si>
  <si>
    <t xml:space="preserve">FA-26638</t>
  </si>
  <si>
    <t xml:space="preserve">FA-26662</t>
  </si>
  <si>
    <t xml:space="preserve">FA-26709</t>
  </si>
  <si>
    <t xml:space="preserve">FA-26716</t>
  </si>
  <si>
    <t xml:space="preserve">FA-26614</t>
  </si>
  <si>
    <t xml:space="preserve">FA-26616</t>
  </si>
  <si>
    <t xml:space="preserve">FA-26619</t>
  </si>
  <si>
    <t xml:space="preserve">FA-26651</t>
  </si>
  <si>
    <t xml:space="preserve">FA-26656</t>
  </si>
  <si>
    <t xml:space="preserve">FA-26695</t>
  </si>
  <si>
    <t xml:space="preserve">FA-26628</t>
  </si>
  <si>
    <t xml:space="preserve">FA-26668</t>
  </si>
  <si>
    <t xml:space="preserve">FA-26624</t>
  </si>
  <si>
    <t xml:space="preserve">FA-26631</t>
  </si>
  <si>
    <t xml:space="preserve">FA-26639</t>
  </si>
  <si>
    <t xml:space="preserve">FA-26641</t>
  </si>
  <si>
    <t xml:space="preserve">FA-26719</t>
  </si>
  <si>
    <t xml:space="preserve">FA-26655</t>
  </si>
  <si>
    <t xml:space="preserve">FA-26606</t>
  </si>
  <si>
    <t xml:space="preserve">FA-26647</t>
  </si>
  <si>
    <t xml:space="preserve">FA-26657</t>
  </si>
  <si>
    <t xml:space="preserve">FA-26673</t>
  </si>
  <si>
    <t xml:space="preserve">FA-26684</t>
  </si>
  <si>
    <t xml:space="preserve">FA-26610</t>
  </si>
  <si>
    <t xml:space="preserve">FA-26625</t>
  </si>
  <si>
    <t xml:space="preserve">FA-26677</t>
  </si>
  <si>
    <t xml:space="preserve">FA-26613</t>
  </si>
  <si>
    <t xml:space="preserve">FA-26665</t>
  </si>
  <si>
    <t xml:space="preserve">FA-26669</t>
  </si>
  <si>
    <t xml:space="preserve">FA-26680</t>
  </si>
  <si>
    <t xml:space="preserve">FA-26682</t>
  </si>
  <si>
    <t xml:space="preserve">FA-26678</t>
  </si>
  <si>
    <t xml:space="preserve">FA-26692</t>
  </si>
  <si>
    <t xml:space="preserve">FA-26693</t>
  </si>
  <si>
    <t xml:space="preserve">FA-26702</t>
  </si>
  <si>
    <t xml:space="preserve">FA-26681</t>
  </si>
  <si>
    <t xml:space="preserve">FA-26705</t>
  </si>
  <si>
    <t xml:space="preserve">FA-26635</t>
  </si>
  <si>
    <t xml:space="preserve">FA-26643</t>
  </si>
  <si>
    <t xml:space="preserve">FA-26654</t>
  </si>
  <si>
    <t xml:space="preserve">FA-26664</t>
  </si>
  <si>
    <t xml:space="preserve">FA-26686</t>
  </si>
  <si>
    <t xml:space="preserve">FA-26707</t>
  </si>
  <si>
    <t xml:space="preserve">FA-26607</t>
  </si>
  <si>
    <t xml:space="preserve">FA-26626</t>
  </si>
  <si>
    <t xml:space="preserve">FA-26660</t>
  </si>
  <si>
    <t xml:space="preserve">FA-26690</t>
  </si>
  <si>
    <t xml:space="preserve">FA-26699</t>
  </si>
  <si>
    <t xml:space="preserve">FA-26618</t>
  </si>
  <si>
    <t xml:space="preserve">FA-26645</t>
  </si>
  <si>
    <t xml:space="preserve">FA-26653</t>
  </si>
  <si>
    <t xml:space="preserve">FA-26671</t>
  </si>
  <si>
    <t xml:space="preserve">FA-26679</t>
  </si>
  <si>
    <t xml:space="preserve">FA-26704</t>
  </si>
  <si>
    <t xml:space="preserve">FA-26718</t>
  </si>
  <si>
    <t xml:space="preserve">FA-26633</t>
  </si>
  <si>
    <t xml:space="preserve">FA-26644</t>
  </si>
  <si>
    <t xml:space="preserve">FA-26696</t>
  </si>
  <si>
    <t xml:space="preserve">FA-26706</t>
  </si>
  <si>
    <t xml:space="preserve">FA-26708</t>
  </si>
  <si>
    <t xml:space="preserve">FA-26629</t>
  </si>
  <si>
    <t xml:space="preserve">FA-26632</t>
  </si>
  <si>
    <t xml:space="preserve">FA-26674</t>
  </si>
  <si>
    <t xml:space="preserve">FA-26683</t>
  </si>
  <si>
    <t xml:space="preserve">FA-26698</t>
  </si>
  <si>
    <t xml:space="preserve">FA-26711</t>
  </si>
  <si>
    <t xml:space="preserve">FA-26617</t>
  </si>
  <si>
    <t xml:space="preserve">FA-26622</t>
  </si>
  <si>
    <t xml:space="preserve">FA-26642</t>
  </si>
  <si>
    <t xml:space="preserve">FA-26670</t>
  </si>
  <si>
    <t xml:space="preserve">FA-26640</t>
  </si>
  <si>
    <t xml:space="preserve">FA-26667</t>
  </si>
  <si>
    <t xml:space="preserve">FA-26672</t>
  </si>
  <si>
    <t xml:space="preserve">FA-26694</t>
  </si>
  <si>
    <t xml:space="preserve">FA-26717</t>
  </si>
  <si>
    <t xml:space="preserve">FA-26676</t>
  </si>
  <si>
    <t xml:space="preserve">FA-26687</t>
  </si>
  <si>
    <t xml:space="preserve">FA-26691</t>
  </si>
  <si>
    <t xml:space="preserve">FA-26701</t>
  </si>
  <si>
    <t xml:space="preserve">FA-26636</t>
  </si>
  <si>
    <t xml:space="preserve">FA-26675</t>
  </si>
  <si>
    <t xml:space="preserve">FA-26715</t>
  </si>
  <si>
    <t xml:space="preserve">FA-26661</t>
  </si>
  <si>
    <t xml:space="preserve">FA-26666</t>
  </si>
  <si>
    <t xml:space="preserve">FA-26713</t>
  </si>
  <si>
    <t xml:space="preserve">FA-26714</t>
  </si>
  <si>
    <t xml:space="preserve">FA-26612</t>
  </si>
  <si>
    <t xml:space="preserve">FA-26620</t>
  </si>
  <si>
    <t xml:space="preserve">FA-26648</t>
  </si>
  <si>
    <t xml:space="preserve">FA-26658</t>
  </si>
  <si>
    <t xml:space="preserve">FA-26646</t>
  </si>
  <si>
    <t xml:space="preserve">FA-26663</t>
  </si>
  <si>
    <t xml:space="preserve">FA-26697</t>
  </si>
  <si>
    <t xml:space="preserve">FA-26608</t>
  </si>
  <si>
    <t xml:space="preserve">FA-26611</t>
  </si>
  <si>
    <t xml:space="preserve">FA-26623</t>
  </si>
  <si>
    <t xml:space="preserve">FA-26650</t>
  </si>
  <si>
    <t xml:space="preserve">FA-26659</t>
  </si>
  <si>
    <t xml:space="preserve">FA-26738</t>
  </si>
  <si>
    <t xml:space="preserve">FA-26767</t>
  </si>
  <si>
    <t xml:space="preserve">FA-26769</t>
  </si>
  <si>
    <t xml:space="preserve">FA-26823</t>
  </si>
  <si>
    <t xml:space="preserve">FA-26743</t>
  </si>
  <si>
    <t xml:space="preserve">FA-26756</t>
  </si>
  <si>
    <t xml:space="preserve">FA-26761</t>
  </si>
  <si>
    <t xml:space="preserve">FA-26779</t>
  </si>
  <si>
    <t xml:space="preserve">FA-26792</t>
  </si>
  <si>
    <t xml:space="preserve">FA-26827</t>
  </si>
  <si>
    <t xml:space="preserve">FA-26732</t>
  </si>
  <si>
    <t xml:space="preserve">FA-26744</t>
  </si>
  <si>
    <t xml:space="preserve">FA-26750</t>
  </si>
  <si>
    <t xml:space="preserve">FA-26752</t>
  </si>
  <si>
    <t xml:space="preserve">FA-26760</t>
  </si>
  <si>
    <t xml:space="preserve">FA-26768</t>
  </si>
  <si>
    <t xml:space="preserve">FA-26781</t>
  </si>
  <si>
    <t xml:space="preserve">FA-26786</t>
  </si>
  <si>
    <t xml:space="preserve">FA-26816</t>
  </si>
  <si>
    <t xml:space="preserve">FA-26820</t>
  </si>
  <si>
    <t xml:space="preserve">FA-26802</t>
  </si>
  <si>
    <t xml:space="preserve">FA-26829</t>
  </si>
  <si>
    <t xml:space="preserve">FA-26757</t>
  </si>
  <si>
    <t xml:space="preserve">FA-26759</t>
  </si>
  <si>
    <t xml:space="preserve">FA-26787</t>
  </si>
  <si>
    <t xml:space="preserve">FA-26807</t>
  </si>
  <si>
    <t xml:space="preserve">FA-26824</t>
  </si>
  <si>
    <t xml:space="preserve">FA-26730</t>
  </si>
  <si>
    <t xml:space="preserve">FA-26736</t>
  </si>
  <si>
    <t xml:space="preserve">FA-26737</t>
  </si>
  <si>
    <t xml:space="preserve">FA-26739</t>
  </si>
  <si>
    <t xml:space="preserve">FA-26742</t>
  </si>
  <si>
    <t xml:space="preserve">FA-26754</t>
  </si>
  <si>
    <t xml:space="preserve">FA-26755</t>
  </si>
  <si>
    <t xml:space="preserve">FA-26771</t>
  </si>
  <si>
    <t xml:space="preserve">FA-26798</t>
  </si>
  <si>
    <t xml:space="preserve">FA-26825</t>
  </si>
  <si>
    <t xml:space="preserve">FA-26832</t>
  </si>
  <si>
    <t xml:space="preserve">FA-26780</t>
  </si>
  <si>
    <t xml:space="preserve">FA-26805</t>
  </si>
  <si>
    <t xml:space="preserve">FA-26813</t>
  </si>
  <si>
    <t xml:space="preserve">FA-26817</t>
  </si>
  <si>
    <t xml:space="preserve">FA-26819</t>
  </si>
  <si>
    <t xml:space="preserve">FA-26725</t>
  </si>
  <si>
    <t xml:space="preserve">FA-26785</t>
  </si>
  <si>
    <t xml:space="preserve">FA-26830</t>
  </si>
  <si>
    <t xml:space="preserve">FA-26720</t>
  </si>
  <si>
    <t xml:space="preserve">FA-26731</t>
  </si>
  <si>
    <t xml:space="preserve">FA-26726</t>
  </si>
  <si>
    <t xml:space="preserve">FA-26766</t>
  </si>
  <si>
    <t xml:space="preserve">FA-26776</t>
  </si>
  <si>
    <t xml:space="preserve">FA-26789</t>
  </si>
  <si>
    <t xml:space="preserve">FA-26812</t>
  </si>
  <si>
    <t xml:space="preserve">FA-26815</t>
  </si>
  <si>
    <t xml:space="preserve">FA-26735</t>
  </si>
  <si>
    <t xml:space="preserve">FA-26740</t>
  </si>
  <si>
    <t xml:space="preserve">FA-26746</t>
  </si>
  <si>
    <t xml:space="preserve">FA-26794</t>
  </si>
  <si>
    <t xml:space="preserve">FA-26804</t>
  </si>
  <si>
    <t xml:space="preserve">FA-26810</t>
  </si>
  <si>
    <t xml:space="preserve">FA-26806</t>
  </si>
  <si>
    <t xml:space="preserve">FA-26808</t>
  </si>
  <si>
    <t xml:space="preserve">FA-26796</t>
  </si>
  <si>
    <t xml:space="preserve">FA-26722</t>
  </si>
  <si>
    <t xml:space="preserve">FA-26749</t>
  </si>
  <si>
    <t xml:space="preserve">FA-26753</t>
  </si>
  <si>
    <t xml:space="preserve">FA-26758</t>
  </si>
  <si>
    <t xml:space="preserve">FA-26770</t>
  </si>
  <si>
    <t xml:space="preserve">FA-26773</t>
  </si>
  <si>
    <t xml:space="preserve">FA-26803</t>
  </si>
  <si>
    <t xml:space="preserve">FA-26734</t>
  </si>
  <si>
    <t xml:space="preserve">FA-26775</t>
  </si>
  <si>
    <t xml:space="preserve">FA-26729</t>
  </si>
  <si>
    <t xml:space="preserve">FA-26828</t>
  </si>
  <si>
    <t xml:space="preserve">FA-26728</t>
  </si>
  <si>
    <t xml:space="preserve">FA-26765</t>
  </si>
  <si>
    <t xml:space="preserve">FA-26790</t>
  </si>
  <si>
    <t xml:space="preserve">FA-26791</t>
  </si>
  <si>
    <t xml:space="preserve">FA-26799</t>
  </si>
  <si>
    <t xml:space="preserve">FA-26821</t>
  </si>
  <si>
    <t xml:space="preserve">FA-26831</t>
  </si>
  <si>
    <t xml:space="preserve">FA-26777</t>
  </si>
  <si>
    <t xml:space="preserve">FA-26782</t>
  </si>
  <si>
    <t xml:space="preserve">FA-26809</t>
  </si>
  <si>
    <t xml:space="preserve">FA-26811</t>
  </si>
  <si>
    <t xml:space="preserve">FA-26733</t>
  </si>
  <si>
    <t xml:space="preserve">FA-26778</t>
  </si>
  <si>
    <t xml:space="preserve">FA-26783</t>
  </si>
  <si>
    <t xml:space="preserve">FA-26795</t>
  </si>
  <si>
    <t xml:space="preserve">FA-26822</t>
  </si>
  <si>
    <t xml:space="preserve">FA-26723</t>
  </si>
  <si>
    <t xml:space="preserve">FA-26793</t>
  </si>
  <si>
    <t xml:space="preserve">FA-26721</t>
  </si>
  <si>
    <t xml:space="preserve">FA-26762</t>
  </si>
  <si>
    <t xml:space="preserve">FA-26774</t>
  </si>
  <si>
    <t xml:space="preserve">FA-26800</t>
  </si>
  <si>
    <t xml:space="preserve">FA-26814</t>
  </si>
  <si>
    <t xml:space="preserve">FA-26833</t>
  </si>
  <si>
    <t xml:space="preserve">FA-26772</t>
  </si>
  <si>
    <t xml:space="preserve">FA-26724</t>
  </si>
  <si>
    <t xml:space="preserve">FA-26764</t>
  </si>
  <si>
    <t xml:space="preserve">FA-26788</t>
  </si>
  <si>
    <t xml:space="preserve">FA-26818</t>
  </si>
  <si>
    <t xml:space="preserve">FA-26741</t>
  </si>
  <si>
    <t xml:space="preserve">FA-26745</t>
  </si>
  <si>
    <t xml:space="preserve">FA-26747</t>
  </si>
  <si>
    <t xml:space="preserve">FA-26748</t>
  </si>
  <si>
    <t xml:space="preserve">FA-26763</t>
  </si>
  <si>
    <t xml:space="preserve">FA-26801</t>
  </si>
  <si>
    <t xml:space="preserve">FA-26826</t>
  </si>
  <si>
    <t xml:space="preserve">FA-26727</t>
  </si>
  <si>
    <t xml:space="preserve">FA-26751</t>
  </si>
  <si>
    <t xml:space="preserve">FA-26784</t>
  </si>
  <si>
    <t xml:space="preserve">FA-26797</t>
  </si>
  <si>
    <t xml:space="preserve">FA-26916</t>
  </si>
  <si>
    <t xml:space="preserve">FA-26921</t>
  </si>
  <si>
    <t xml:space="preserve">FA-26848</t>
  </si>
  <si>
    <t xml:space="preserve">FA-26858</t>
  </si>
  <si>
    <t xml:space="preserve">FA-26941</t>
  </si>
  <si>
    <t xml:space="preserve">FA-26953</t>
  </si>
  <si>
    <t xml:space="preserve">FA-26855</t>
  </si>
  <si>
    <t xml:space="preserve">FA-26881</t>
  </si>
  <si>
    <t xml:space="preserve">FA-26943</t>
  </si>
  <si>
    <t xml:space="preserve">FA-26834</t>
  </si>
  <si>
    <t xml:space="preserve">FA-26843</t>
  </si>
  <si>
    <t xml:space="preserve">FA-26871</t>
  </si>
  <si>
    <t xml:space="preserve">FA-26878</t>
  </si>
  <si>
    <t xml:space="preserve">FA-26887</t>
  </si>
  <si>
    <t xml:space="preserve">FA-26893</t>
  </si>
  <si>
    <t xml:space="preserve">FA-26922</t>
  </si>
  <si>
    <t xml:space="preserve">FA-26950</t>
  </si>
  <si>
    <t xml:space="preserve">FA-26854</t>
  </si>
  <si>
    <t xml:space="preserve">FA-26869</t>
  </si>
  <si>
    <t xml:space="preserve">FA-26880</t>
  </si>
  <si>
    <t xml:space="preserve">FA-26906</t>
  </si>
  <si>
    <t xml:space="preserve">FA-26909</t>
  </si>
  <si>
    <t xml:space="preserve">FA-26836</t>
  </si>
  <si>
    <t xml:space="preserve">FA-26851</t>
  </si>
  <si>
    <t xml:space="preserve">FA-26859</t>
  </si>
  <si>
    <t xml:space="preserve">FA-26889</t>
  </si>
  <si>
    <t xml:space="preserve">FA-26899</t>
  </si>
  <si>
    <t xml:space="preserve">FA-26956</t>
  </si>
  <si>
    <t xml:space="preserve">FA-26844</t>
  </si>
  <si>
    <t xml:space="preserve">FA-26860</t>
  </si>
  <si>
    <t xml:space="preserve">FA-26924</t>
  </si>
  <si>
    <t xml:space="preserve">FA-26932</t>
  </si>
  <si>
    <t xml:space="preserve">FA-26845</t>
  </si>
  <si>
    <t xml:space="preserve">FA-26891</t>
  </si>
  <si>
    <t xml:space="preserve">FA-26898</t>
  </si>
  <si>
    <t xml:space="preserve">FA-26929</t>
  </si>
  <si>
    <t xml:space="preserve">FA-26846</t>
  </si>
  <si>
    <t xml:space="preserve">FA-26876</t>
  </si>
  <si>
    <t xml:space="preserve">FA-26901</t>
  </si>
  <si>
    <t xml:space="preserve">FA-26923</t>
  </si>
  <si>
    <t xml:space="preserve">FA-26934</t>
  </si>
  <si>
    <t xml:space="preserve">FA-26870</t>
  </si>
  <si>
    <t xml:space="preserve">FA-26877</t>
  </si>
  <si>
    <t xml:space="preserve">FA-26890</t>
  </si>
  <si>
    <t xml:space="preserve">FA-26918</t>
  </si>
  <si>
    <t xml:space="preserve">FA-26935</t>
  </si>
  <si>
    <t xml:space="preserve">FA-26940</t>
  </si>
  <si>
    <t xml:space="preserve">FA-26872</t>
  </si>
  <si>
    <t xml:space="preserve">FA-26902</t>
  </si>
  <si>
    <t xml:space="preserve">FA-26904</t>
  </si>
  <si>
    <t xml:space="preserve">FA-26908</t>
  </si>
  <si>
    <t xml:space="preserve">FA-26920</t>
  </si>
  <si>
    <t xml:space="preserve">FA-26933</t>
  </si>
  <si>
    <t xml:space="preserve">FA-26957</t>
  </si>
  <si>
    <t xml:space="preserve">FA-26897</t>
  </si>
  <si>
    <t xml:space="preserve">FA-26919</t>
  </si>
  <si>
    <t xml:space="preserve">FA-26937</t>
  </si>
  <si>
    <t xml:space="preserve">FA-26852</t>
  </si>
  <si>
    <t xml:space="preserve">FA-26910</t>
  </si>
  <si>
    <t xml:space="preserve">FA-26946</t>
  </si>
  <si>
    <t xml:space="preserve">FA-26874</t>
  </si>
  <si>
    <t xml:space="preserve">FA-26905</t>
  </si>
  <si>
    <t xml:space="preserve">FA-26949</t>
  </si>
  <si>
    <t xml:space="preserve">FA-26907</t>
  </si>
  <si>
    <t xml:space="preserve">FA-26847</t>
  </si>
  <si>
    <t xml:space="preserve">FA-26861</t>
  </si>
  <si>
    <t xml:space="preserve">FA-26867</t>
  </si>
  <si>
    <t xml:space="preserve">FA-26952</t>
  </si>
  <si>
    <t xml:space="preserve">FA-26885</t>
  </si>
  <si>
    <t xml:space="preserve">FA-26886</t>
  </si>
  <si>
    <t xml:space="preserve">FA-26888</t>
  </si>
  <si>
    <t xml:space="preserve">FA-26925</t>
  </si>
  <si>
    <t xml:space="preserve">FA-26939</t>
  </si>
  <si>
    <t xml:space="preserve">FA-26840</t>
  </si>
  <si>
    <t xml:space="preserve">FA-26879</t>
  </si>
  <si>
    <t xml:space="preserve">FA-26927</t>
  </si>
  <si>
    <t xml:space="preserve">FA-26835</t>
  </si>
  <si>
    <t xml:space="preserve">FA-26863</t>
  </si>
  <si>
    <t xml:space="preserve">FA-26875</t>
  </si>
  <si>
    <t xml:space="preserve">FA-26895</t>
  </si>
  <si>
    <t xml:space="preserve">FA-26917</t>
  </si>
  <si>
    <t xml:space="preserve">FA-26945</t>
  </si>
  <si>
    <t xml:space="preserve">FA-26928</t>
  </si>
  <si>
    <t xml:space="preserve">FA-26839</t>
  </si>
  <si>
    <t xml:space="preserve">FA-26883</t>
  </si>
  <si>
    <t xml:space="preserve">FA-26853</t>
  </si>
  <si>
    <t xml:space="preserve">FA-26873</t>
  </si>
  <si>
    <t xml:space="preserve">FA-26951</t>
  </si>
  <si>
    <t xml:space="preserve">FA-26838</t>
  </si>
  <si>
    <t xml:space="preserve">FA-26841</t>
  </si>
  <si>
    <t xml:space="preserve">FA-26862</t>
  </si>
  <si>
    <t xml:space="preserve">FA-26864</t>
  </si>
  <si>
    <t xml:space="preserve">FA-26868</t>
  </si>
  <si>
    <t xml:space="preserve">FA-26882</t>
  </si>
  <si>
    <t xml:space="preserve">FA-26892</t>
  </si>
  <si>
    <t xml:space="preserve">FA-26903</t>
  </si>
  <si>
    <t xml:space="preserve">FA-26911</t>
  </si>
  <si>
    <t xml:space="preserve">FA-26947</t>
  </si>
  <si>
    <t xml:space="preserve">FA-26849</t>
  </si>
  <si>
    <t xml:space="preserve">FA-26856</t>
  </si>
  <si>
    <t xml:space="preserve">FA-26894</t>
  </si>
  <si>
    <t xml:space="preserve">FA-26912</t>
  </si>
  <si>
    <t xml:space="preserve">FA-26938</t>
  </si>
  <si>
    <t xml:space="preserve">FA-26942</t>
  </si>
  <si>
    <t xml:space="preserve">FA-26837</t>
  </si>
  <si>
    <t xml:space="preserve">FA-26850</t>
  </si>
  <si>
    <t xml:space="preserve">FA-26884</t>
  </si>
  <si>
    <t xml:space="preserve">FA-26913</t>
  </si>
  <si>
    <t xml:space="preserve">FA-26914</t>
  </si>
  <si>
    <t xml:space="preserve">FA-26936</t>
  </si>
  <si>
    <t xml:space="preserve">FA-26954</t>
  </si>
  <si>
    <t xml:space="preserve">FA-26857</t>
  </si>
  <si>
    <t xml:space="preserve">FA-26865</t>
  </si>
  <si>
    <t xml:space="preserve">FA-26944</t>
  </si>
  <si>
    <t xml:space="preserve">FA-26948</t>
  </si>
  <si>
    <t xml:space="preserve">FA-26926</t>
  </si>
  <si>
    <t xml:space="preserve">FA-26931</t>
  </si>
  <si>
    <t xml:space="preserve">FA-26955</t>
  </si>
  <si>
    <t xml:space="preserve">FA-26842</t>
  </si>
  <si>
    <t xml:space="preserve">FA-26866</t>
  </si>
  <si>
    <t xml:space="preserve">FA-26896</t>
  </si>
  <si>
    <t xml:space="preserve">FA-26900</t>
  </si>
  <si>
    <t xml:space="preserve">FA-26915</t>
  </si>
  <si>
    <t xml:space="preserve">FA-26930</t>
  </si>
  <si>
    <t xml:space="preserve">FA-26972</t>
  </si>
  <si>
    <t xml:space="preserve">FA-26977</t>
  </si>
  <si>
    <t xml:space="preserve">FA-27028</t>
  </si>
  <si>
    <t xml:space="preserve">FA-27037</t>
  </si>
  <si>
    <t xml:space="preserve">FA-27039</t>
  </si>
  <si>
    <t xml:space="preserve">FA-27055</t>
  </si>
  <si>
    <t xml:space="preserve">FA-26993</t>
  </si>
  <si>
    <t xml:space="preserve">FA-27006</t>
  </si>
  <si>
    <t xml:space="preserve">FA-27043</t>
  </si>
  <si>
    <t xml:space="preserve">FA-27070</t>
  </si>
  <si>
    <t xml:space="preserve">FA-26966</t>
  </si>
  <si>
    <t xml:space="preserve">FA-26991</t>
  </si>
  <si>
    <t xml:space="preserve">FA-27022</t>
  </si>
  <si>
    <t xml:space="preserve">FA-27075</t>
  </si>
  <si>
    <t xml:space="preserve">FA-26969</t>
  </si>
  <si>
    <t xml:space="preserve">FA-26971</t>
  </si>
  <si>
    <t xml:space="preserve">FA-27005</t>
  </si>
  <si>
    <t xml:space="preserve">FA-27064</t>
  </si>
  <si>
    <t xml:space="preserve">FA-26985</t>
  </si>
  <si>
    <t xml:space="preserve">FA-26990</t>
  </si>
  <si>
    <t xml:space="preserve">FA-27017</t>
  </si>
  <si>
    <t xml:space="preserve">FA-27042</t>
  </si>
  <si>
    <t xml:space="preserve">FA-27050</t>
  </si>
  <si>
    <t xml:space="preserve">FA-26983</t>
  </si>
  <si>
    <t xml:space="preserve">FA-26989</t>
  </si>
  <si>
    <t xml:space="preserve">FA-27020</t>
  </si>
  <si>
    <t xml:space="preserve">FA-27073</t>
  </si>
  <si>
    <t xml:space="preserve">FA-26964</t>
  </si>
  <si>
    <t xml:space="preserve">FA-26986</t>
  </si>
  <si>
    <t xml:space="preserve">FA-26994</t>
  </si>
  <si>
    <t xml:space="preserve">FA-26996</t>
  </si>
  <si>
    <t xml:space="preserve">FA-26979</t>
  </si>
  <si>
    <t xml:space="preserve">FA-26998</t>
  </si>
  <si>
    <t xml:space="preserve">FA-27008</t>
  </si>
  <si>
    <t xml:space="preserve">FA-27010</t>
  </si>
  <si>
    <t xml:space="preserve">FA-27018</t>
  </si>
  <si>
    <t xml:space="preserve">FA-27019</t>
  </si>
  <si>
    <t xml:space="preserve">FA-27029</t>
  </si>
  <si>
    <t xml:space="preserve">FA-27033</t>
  </si>
  <si>
    <t xml:space="preserve">FA-27058</t>
  </si>
  <si>
    <t xml:space="preserve">FA-26958</t>
  </si>
  <si>
    <t xml:space="preserve">FA-26962</t>
  </si>
  <si>
    <t xml:space="preserve">FA-26968</t>
  </si>
  <si>
    <t xml:space="preserve">FA-26970</t>
  </si>
  <si>
    <t xml:space="preserve">FA-26974</t>
  </si>
  <si>
    <t xml:space="preserve">FA-27014</t>
  </si>
  <si>
    <t xml:space="preserve">FA-27046</t>
  </si>
  <si>
    <t xml:space="preserve">FA-27062</t>
  </si>
  <si>
    <t xml:space="preserve">FA-27034</t>
  </si>
  <si>
    <t xml:space="preserve">FA-27040</t>
  </si>
  <si>
    <t xml:space="preserve">FA-27049</t>
  </si>
  <si>
    <t xml:space="preserve">FA-27052</t>
  </si>
  <si>
    <t xml:space="preserve">FA-27068</t>
  </si>
  <si>
    <t xml:space="preserve">FA-27009</t>
  </si>
  <si>
    <t xml:space="preserve">FA-27021</t>
  </si>
  <si>
    <t xml:space="preserve">FA-27038</t>
  </si>
  <si>
    <t xml:space="preserve">FA-26981</t>
  </si>
  <si>
    <t xml:space="preserve">FA-27059</t>
  </si>
  <si>
    <t xml:space="preserve">FA-27060</t>
  </si>
  <si>
    <t xml:space="preserve">FA-27074</t>
  </si>
  <si>
    <t xml:space="preserve">FA-26965</t>
  </si>
  <si>
    <t xml:space="preserve">FA-26992</t>
  </si>
  <si>
    <t xml:space="preserve">FA-27032</t>
  </si>
  <si>
    <t xml:space="preserve">FA-26976</t>
  </si>
  <si>
    <t xml:space="preserve">FA-27047</t>
  </si>
  <si>
    <t xml:space="preserve">FA-27053</t>
  </si>
  <si>
    <t xml:space="preserve">FA-27072</t>
  </si>
  <si>
    <t xml:space="preserve">FA-26984</t>
  </si>
  <si>
    <t xml:space="preserve">FA-27001</t>
  </si>
  <si>
    <t xml:space="preserve">FA-26961</t>
  </si>
  <si>
    <t xml:space="preserve">FA-27002</t>
  </si>
  <si>
    <t xml:space="preserve">FA-27003</t>
  </si>
  <si>
    <t xml:space="preserve">FA-27026</t>
  </si>
  <si>
    <t xml:space="preserve">FA-27036</t>
  </si>
  <si>
    <t xml:space="preserve">FA-27041</t>
  </si>
  <si>
    <t xml:space="preserve">FA-27066</t>
  </si>
  <si>
    <t xml:space="preserve">FA-27069</t>
  </si>
  <si>
    <t xml:space="preserve">FA-27076</t>
  </si>
  <si>
    <t xml:space="preserve">FA-27077</t>
  </si>
  <si>
    <t xml:space="preserve">FA-26960</t>
  </si>
  <si>
    <t xml:space="preserve">FA-26997</t>
  </si>
  <si>
    <t xml:space="preserve">FA-27048</t>
  </si>
  <si>
    <t xml:space="preserve">FA-27056</t>
  </si>
  <si>
    <t xml:space="preserve">FA-26959</t>
  </si>
  <si>
    <t xml:space="preserve">FA-26995</t>
  </si>
  <si>
    <t xml:space="preserve">FA-27054</t>
  </si>
  <si>
    <t xml:space="preserve">FA-27015</t>
  </si>
  <si>
    <t xml:space="preserve">FA-27030</t>
  </si>
  <si>
    <t xml:space="preserve">FA-27065</t>
  </si>
  <si>
    <t xml:space="preserve">FA-26967</t>
  </si>
  <si>
    <t xml:space="preserve">FA-27031</t>
  </si>
  <si>
    <t xml:space="preserve">FA-27063</t>
  </si>
  <si>
    <t xml:space="preserve">FA-27071</t>
  </si>
  <si>
    <t xml:space="preserve">FA-27078</t>
  </si>
  <si>
    <t xml:space="preserve">FA-26963</t>
  </si>
  <si>
    <t xml:space="preserve">FA-26978</t>
  </si>
  <si>
    <t xml:space="preserve">FA-27027</t>
  </si>
  <si>
    <t xml:space="preserve">FA-27067</t>
  </si>
  <si>
    <t xml:space="preserve">FA-26987</t>
  </si>
  <si>
    <t xml:space="preserve">FA-27000</t>
  </si>
  <si>
    <t xml:space="preserve">FA-27051</t>
  </si>
  <si>
    <t xml:space="preserve">FA-27057</t>
  </si>
  <si>
    <t xml:space="preserve">FA-26980</t>
  </si>
  <si>
    <t xml:space="preserve">FA-27012</t>
  </si>
  <si>
    <t xml:space="preserve">FA-27013</t>
  </si>
  <si>
    <t xml:space="preserve">FA-27035</t>
  </si>
  <si>
    <t xml:space="preserve">FA-27045</t>
  </si>
  <si>
    <t xml:space="preserve">FA-27061</t>
  </si>
  <si>
    <t xml:space="preserve">FA-27025</t>
  </si>
  <si>
    <t xml:space="preserve">FA-27044</t>
  </si>
  <si>
    <t xml:space="preserve">FA-26973</t>
  </si>
  <si>
    <t xml:space="preserve">FA-26975</t>
  </si>
  <si>
    <t xml:space="preserve">FA-26982</t>
  </si>
  <si>
    <t xml:space="preserve">FA-26988</t>
  </si>
  <si>
    <t xml:space="preserve">FA-27011</t>
  </si>
  <si>
    <t xml:space="preserve">FA-27016</t>
  </si>
  <si>
    <t xml:space="preserve">FA-27023</t>
  </si>
  <si>
    <t xml:space="preserve">FA-26999</t>
  </si>
  <si>
    <t xml:space="preserve">FA-27004</t>
  </si>
  <si>
    <t xml:space="preserve">FA-27007</t>
  </si>
  <si>
    <t xml:space="preserve">FA-27024</t>
  </si>
  <si>
    <t xml:space="preserve">Date facture</t>
  </si>
  <si>
    <t xml:space="preserve">Échéance</t>
  </si>
  <si>
    <t xml:space="preserve">Montant TTC</t>
  </si>
  <si>
    <t xml:space="preserve">Jours de retard au 30/09</t>
  </si>
  <si>
    <t xml:space="preserve">Tranche</t>
  </si>
  <si>
    <t xml:space="preserve">Trésorerie début de mois</t>
  </si>
  <si>
    <t xml:space="preserve">Encaissements clients</t>
  </si>
  <si>
    <t xml:space="preserve">Décaissements fournisseurs</t>
  </si>
  <si>
    <t xml:space="preserve">Salaires nets</t>
  </si>
  <si>
    <t xml:space="preserve">Charges sociales</t>
  </si>
  <si>
    <t xml:space="preserve">TVA décaissée</t>
  </si>
  <si>
    <t xml:space="preserve">Acomptes d'IS</t>
  </si>
  <si>
    <t xml:space="preserve">Loyers</t>
  </si>
  <si>
    <t xml:space="preserve">Investissements</t>
  </si>
  <si>
    <t xml:space="preserve">Remboursement d'emprunt</t>
  </si>
  <si>
    <t xml:space="preserve">Variation de trésorerie</t>
  </si>
  <si>
    <t xml:space="preserve">Trésorerie fin de mois</t>
  </si>
  <si>
    <t xml:space="preserve">Paramètre</t>
  </si>
  <si>
    <t xml:space="preserve">Valeur</t>
  </si>
  <si>
    <t xml:space="preserve">Commentaire</t>
  </si>
  <si>
    <t xml:space="preserve">Taux d'IS (normal)</t>
  </si>
  <si>
    <t xml:space="preserve">Taux normal 2026</t>
  </si>
  <si>
    <t xml:space="preserve">Taux d'IS réduit PME</t>
  </si>
  <si>
    <t xml:space="preserve">Jusqu'à 42 500 € de bénéfice</t>
  </si>
  <si>
    <t xml:space="preserve">Seuil taux réduit</t>
  </si>
  <si>
    <t xml:space="preserve">€</t>
  </si>
  <si>
    <t xml:space="preserve">Acomptes d'IS versés 2026</t>
  </si>
  <si>
    <t xml:space="preserve">3 acomptes de 68 000 € (mars, juin, sept.)</t>
  </si>
  <si>
    <t xml:space="preserve">Délai moyen fournisseurs</t>
  </si>
  <si>
    <t xml:space="preserve">jours</t>
  </si>
  <si>
    <t xml:space="preserve">Taux de TVA produits alimentaires</t>
  </si>
  <si>
    <t xml:space="preserve">Moutardes, pain d'épices, condiments</t>
  </si>
  <si>
    <t xml:space="preserve">Taux de TVA alcools</t>
  </si>
  <si>
    <t xml:space="preserve">Objectif DSO</t>
  </si>
  <si>
    <t xml:space="preserve">Encours bancaire</t>
  </si>
  <si>
    <t xml:space="preserve">Capital restant dû au 30/09/2026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</si>
</sst>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 €)&quot;;\-"/>
    <numFmt numFmtId="166" formatCode="0.0%;\(0.0%\);\-"/>
    <numFmt numFmtId="167" formatCode="dd/mm/yyyy"/>
    <numFmt numFmtId="168" formatCode="#,##0.00&quot; €&quot;"/>
    <numFmt numFmtId="169" formatCode="0.0%"/>
    <numFmt numFmtId="170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1B3A"/>
        <bgColor rgb="FF333300"/>
      </patternFill>
    </fill>
    <fill>
      <patternFill patternType="solid">
        <fgColor rgb="FFE8E6F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1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5" hidden="false" customHeight="false" outlineLevel="0" collapsed="false">
      <c r="A2" s="5" t="s">
        <v>26</v>
      </c>
      <c r="B2" s="6" t="n">
        <v>319300</v>
      </c>
      <c r="C2" s="6" t="n">
        <v>303335</v>
      </c>
      <c r="D2" s="6" t="n">
        <v>319300</v>
      </c>
      <c r="E2" s="6" t="n">
        <v>319300</v>
      </c>
      <c r="F2" s="6" t="n">
        <v>335265</v>
      </c>
      <c r="G2" s="6" t="n">
        <v>351230</v>
      </c>
      <c r="H2" s="6" t="n">
        <v>367195</v>
      </c>
      <c r="I2" s="6" t="n">
        <v>335265</v>
      </c>
      <c r="J2" s="6" t="n">
        <v>319300</v>
      </c>
      <c r="K2" s="6" t="n">
        <v>319300</v>
      </c>
      <c r="L2" s="6" t="n">
        <v>319300</v>
      </c>
      <c r="M2" s="6" t="n">
        <v>335265</v>
      </c>
      <c r="N2" s="7" t="n">
        <f aca="false">SUM(B2:M2)</f>
        <v>3943355</v>
      </c>
    </row>
    <row r="3" customFormat="false" ht="15" hidden="false" customHeight="false" outlineLevel="0" collapsed="false">
      <c r="A3" s="5" t="s">
        <v>27</v>
      </c>
      <c r="B3" s="6" t="n">
        <v>58710</v>
      </c>
      <c r="C3" s="6" t="n">
        <v>48925</v>
      </c>
      <c r="D3" s="6" t="n">
        <v>53817.5</v>
      </c>
      <c r="E3" s="6" t="n">
        <v>48925</v>
      </c>
      <c r="F3" s="6" t="n">
        <v>44032.5</v>
      </c>
      <c r="G3" s="6" t="n">
        <v>39140</v>
      </c>
      <c r="H3" s="6" t="n">
        <v>34247.5</v>
      </c>
      <c r="I3" s="6" t="n">
        <v>39140</v>
      </c>
      <c r="J3" s="6" t="n">
        <v>68495</v>
      </c>
      <c r="K3" s="6" t="n">
        <v>117420</v>
      </c>
      <c r="L3" s="6" t="n">
        <v>195700</v>
      </c>
      <c r="M3" s="6" t="n">
        <v>254410</v>
      </c>
      <c r="N3" s="7" t="n">
        <f aca="false">SUM(B3:M3)</f>
        <v>1002962.5</v>
      </c>
    </row>
    <row r="4" customFormat="false" ht="15" hidden="false" customHeight="false" outlineLevel="0" collapsed="false">
      <c r="A4" s="5" t="s">
        <v>28</v>
      </c>
      <c r="B4" s="6" t="n">
        <v>108150</v>
      </c>
      <c r="C4" s="6" t="n">
        <v>108150</v>
      </c>
      <c r="D4" s="6" t="n">
        <v>123600</v>
      </c>
      <c r="E4" s="6" t="n">
        <v>131325</v>
      </c>
      <c r="F4" s="6" t="n">
        <v>146775</v>
      </c>
      <c r="G4" s="6" t="n">
        <v>169950</v>
      </c>
      <c r="H4" s="6" t="n">
        <v>185400</v>
      </c>
      <c r="I4" s="6" t="n">
        <v>169950</v>
      </c>
      <c r="J4" s="6" t="n">
        <v>139050</v>
      </c>
      <c r="K4" s="6" t="n">
        <v>154500</v>
      </c>
      <c r="L4" s="6" t="n">
        <v>231750</v>
      </c>
      <c r="M4" s="6" t="n">
        <v>339900</v>
      </c>
      <c r="N4" s="7" t="n">
        <f aca="false">SUM(B4:M4)</f>
        <v>2008500</v>
      </c>
    </row>
    <row r="5" customFormat="false" ht="15" hidden="false" customHeight="false" outlineLevel="0" collapsed="false">
      <c r="A5" s="5" t="s">
        <v>29</v>
      </c>
      <c r="B5" s="6" t="n">
        <v>111240</v>
      </c>
      <c r="C5" s="6" t="n">
        <v>111240</v>
      </c>
      <c r="D5" s="6" t="n">
        <v>123600</v>
      </c>
      <c r="E5" s="6" t="n">
        <v>129780</v>
      </c>
      <c r="F5" s="6" t="n">
        <v>142140</v>
      </c>
      <c r="G5" s="6" t="n">
        <v>154500</v>
      </c>
      <c r="H5" s="6" t="n">
        <v>160680</v>
      </c>
      <c r="I5" s="6" t="n">
        <v>148320</v>
      </c>
      <c r="J5" s="6" t="n">
        <v>123600</v>
      </c>
      <c r="K5" s="6" t="n">
        <v>117420</v>
      </c>
      <c r="L5" s="6" t="n">
        <v>111240</v>
      </c>
      <c r="M5" s="6" t="n">
        <v>117420</v>
      </c>
      <c r="N5" s="7" t="n">
        <f aca="false">SUM(B5:M5)</f>
        <v>1551180</v>
      </c>
    </row>
    <row r="6" customFormat="false" ht="15" hidden="false" customHeight="false" outlineLevel="0" collapsed="false">
      <c r="A6" s="8" t="s">
        <v>30</v>
      </c>
      <c r="B6" s="9" t="n">
        <f aca="false">SUM(B2:B5)</f>
        <v>597400</v>
      </c>
      <c r="C6" s="9" t="n">
        <f aca="false">SUM(C2:C5)</f>
        <v>571650</v>
      </c>
      <c r="D6" s="9" t="n">
        <f aca="false">SUM(D2:D5)</f>
        <v>620317.5</v>
      </c>
      <c r="E6" s="9" t="n">
        <f aca="false">SUM(E2:E5)</f>
        <v>629330</v>
      </c>
      <c r="F6" s="9" t="n">
        <f aca="false">SUM(F2:F5)</f>
        <v>668212.5</v>
      </c>
      <c r="G6" s="9" t="n">
        <f aca="false">SUM(G2:G5)</f>
        <v>714820</v>
      </c>
      <c r="H6" s="9" t="n">
        <f aca="false">SUM(H2:H5)</f>
        <v>747522.5</v>
      </c>
      <c r="I6" s="9" t="n">
        <f aca="false">SUM(I2:I5)</f>
        <v>692675</v>
      </c>
      <c r="J6" s="9" t="n">
        <f aca="false">SUM(J2:J5)</f>
        <v>650445</v>
      </c>
      <c r="K6" s="9" t="n">
        <f aca="false">SUM(K2:K5)</f>
        <v>708640</v>
      </c>
      <c r="L6" s="9" t="n">
        <f aca="false">SUM(L2:L5)</f>
        <v>857990</v>
      </c>
      <c r="M6" s="9" t="n">
        <f aca="false">SUM(M2:M5)</f>
        <v>1046995</v>
      </c>
      <c r="N6" s="9" t="n">
        <f aca="false">SUM(B6:M6)</f>
        <v>8505997.5</v>
      </c>
    </row>
    <row r="7" customFormat="false" ht="15" hidden="false" customHeight="false" outlineLevel="0" collapsed="false">
      <c r="A7" s="5" t="s">
        <v>31</v>
      </c>
      <c r="B7" s="6" t="n">
        <v>268830</v>
      </c>
      <c r="C7" s="6" t="n">
        <v>257242.5</v>
      </c>
      <c r="D7" s="6" t="n">
        <v>279142.88</v>
      </c>
      <c r="E7" s="6" t="n">
        <v>283198.5</v>
      </c>
      <c r="F7" s="6" t="n">
        <v>300695.62</v>
      </c>
      <c r="G7" s="6" t="n">
        <v>321669</v>
      </c>
      <c r="H7" s="6" t="n">
        <v>336385.12</v>
      </c>
      <c r="I7" s="6" t="n">
        <v>311703.75</v>
      </c>
      <c r="J7" s="6" t="n">
        <v>292700.25</v>
      </c>
      <c r="K7" s="6" t="n">
        <v>318888</v>
      </c>
      <c r="L7" s="6" t="n">
        <v>386095.5</v>
      </c>
      <c r="M7" s="6" t="n">
        <v>471147.75</v>
      </c>
      <c r="N7" s="7" t="n">
        <f aca="false">SUM(B7:M7)</f>
        <v>3827698.87</v>
      </c>
    </row>
    <row r="8" customFormat="false" ht="15" hidden="false" customHeight="false" outlineLevel="0" collapsed="false">
      <c r="A8" s="8" t="s">
        <v>32</v>
      </c>
      <c r="B8" s="9" t="n">
        <f aca="false">B6-B7</f>
        <v>328570</v>
      </c>
      <c r="C8" s="9" t="n">
        <f aca="false">C6-C7</f>
        <v>314407.5</v>
      </c>
      <c r="D8" s="9" t="n">
        <f aca="false">D6-D7</f>
        <v>341174.62</v>
      </c>
      <c r="E8" s="9" t="n">
        <f aca="false">E6-E7</f>
        <v>346131.5</v>
      </c>
      <c r="F8" s="9" t="n">
        <f aca="false">F6-F7</f>
        <v>367516.88</v>
      </c>
      <c r="G8" s="9" t="n">
        <f aca="false">G6-G7</f>
        <v>393151</v>
      </c>
      <c r="H8" s="9" t="n">
        <f aca="false">H6-H7</f>
        <v>411137.38</v>
      </c>
      <c r="I8" s="9" t="n">
        <f aca="false">I6-I7</f>
        <v>380971.25</v>
      </c>
      <c r="J8" s="9" t="n">
        <f aca="false">J6-J7</f>
        <v>357744.75</v>
      </c>
      <c r="K8" s="9" t="n">
        <f aca="false">K6-K7</f>
        <v>389752</v>
      </c>
      <c r="L8" s="9" t="n">
        <f aca="false">L6-L7</f>
        <v>471894.5</v>
      </c>
      <c r="M8" s="9" t="n">
        <f aca="false">M6-M7</f>
        <v>575847.25</v>
      </c>
      <c r="N8" s="9" t="n">
        <f aca="false">SUM(B8:M8)</f>
        <v>4678298.63</v>
      </c>
    </row>
    <row r="9" customFormat="false" ht="15" hidden="false" customHeight="false" outlineLevel="0" collapsed="false">
      <c r="A9" s="5" t="s">
        <v>33</v>
      </c>
      <c r="B9" s="10" t="n">
        <f aca="false">IF(B6=0,0,B8/B6)</f>
        <v>0.55</v>
      </c>
      <c r="C9" s="10" t="n">
        <f aca="false">IF(C6=0,0,C8/C6)</f>
        <v>0.55</v>
      </c>
      <c r="D9" s="10" t="n">
        <f aca="false">IF(D6=0,0,D8/D6)</f>
        <v>0.549999991939612</v>
      </c>
      <c r="E9" s="10" t="n">
        <f aca="false">IF(E6=0,0,E8/E6)</f>
        <v>0.55</v>
      </c>
      <c r="F9" s="10" t="n">
        <f aca="false">IF(F6=0,0,F8/F6)</f>
        <v>0.55000000748265</v>
      </c>
      <c r="G9" s="10" t="n">
        <f aca="false">IF(G6=0,0,G8/G6)</f>
        <v>0.55</v>
      </c>
      <c r="H9" s="10" t="n">
        <f aca="false">IF(H6=0,0,H8/H6)</f>
        <v>0.550000006688762</v>
      </c>
      <c r="I9" s="10" t="n">
        <f aca="false">IF(I6=0,0,I8/I6)</f>
        <v>0.55</v>
      </c>
      <c r="J9" s="10" t="n">
        <f aca="false">IF(J6=0,0,J8/J6)</f>
        <v>0.55</v>
      </c>
      <c r="K9" s="10" t="n">
        <f aca="false">IF(K6=0,0,K8/K6)</f>
        <v>0.55</v>
      </c>
      <c r="L9" s="10" t="n">
        <f aca="false">IF(L6=0,0,L8/L6)</f>
        <v>0.55</v>
      </c>
      <c r="M9" s="10" t="n">
        <f aca="false">IF(M6=0,0,M8/M6)</f>
        <v>0.55</v>
      </c>
      <c r="N9" s="10" t="n">
        <f aca="false">IF(N6=0,0,N8/N6)</f>
        <v>0.550000000587821</v>
      </c>
    </row>
    <row r="10" customFormat="false" ht="15" hidden="false" customHeight="false" outlineLevel="0" collapsed="false">
      <c r="A10" s="5" t="s">
        <v>34</v>
      </c>
      <c r="B10" s="6" t="n">
        <v>145000</v>
      </c>
      <c r="C10" s="6" t="n">
        <v>145000</v>
      </c>
      <c r="D10" s="6" t="n">
        <v>145000</v>
      </c>
      <c r="E10" s="6" t="n">
        <v>145000</v>
      </c>
      <c r="F10" s="6" t="n">
        <v>145000</v>
      </c>
      <c r="G10" s="6" t="n">
        <v>145000</v>
      </c>
      <c r="H10" s="6" t="n">
        <v>145000</v>
      </c>
      <c r="I10" s="6" t="n">
        <v>145000</v>
      </c>
      <c r="J10" s="6" t="n">
        <v>145000</v>
      </c>
      <c r="K10" s="6" t="n">
        <v>145000</v>
      </c>
      <c r="L10" s="6" t="n">
        <v>145000</v>
      </c>
      <c r="M10" s="6" t="n">
        <v>145000</v>
      </c>
      <c r="N10" s="7" t="n">
        <f aca="false">SUM(B10:M10)</f>
        <v>1740000</v>
      </c>
    </row>
    <row r="11" customFormat="false" ht="15" hidden="false" customHeight="false" outlineLevel="0" collapsed="false">
      <c r="A11" s="5" t="s">
        <v>35</v>
      </c>
      <c r="B11" s="6" t="n">
        <v>18400</v>
      </c>
      <c r="C11" s="6" t="n">
        <v>18400</v>
      </c>
      <c r="D11" s="6" t="n">
        <v>18400</v>
      </c>
      <c r="E11" s="6" t="n">
        <v>18400</v>
      </c>
      <c r="F11" s="6" t="n">
        <v>18400</v>
      </c>
      <c r="G11" s="6" t="n">
        <v>18400</v>
      </c>
      <c r="H11" s="6" t="n">
        <v>18400</v>
      </c>
      <c r="I11" s="6" t="n">
        <v>18400</v>
      </c>
      <c r="J11" s="6" t="n">
        <v>18400</v>
      </c>
      <c r="K11" s="6" t="n">
        <v>18400</v>
      </c>
      <c r="L11" s="6" t="n">
        <v>18400</v>
      </c>
      <c r="M11" s="6" t="n">
        <v>18400</v>
      </c>
      <c r="N11" s="7" t="n">
        <f aca="false">SUM(B11:M11)</f>
        <v>220800</v>
      </c>
    </row>
    <row r="12" customFormat="false" ht="15" hidden="false" customHeight="false" outlineLevel="0" collapsed="false">
      <c r="A12" s="5" t="s">
        <v>36</v>
      </c>
      <c r="B12" s="6" t="n">
        <v>23896</v>
      </c>
      <c r="C12" s="6" t="n">
        <v>22866</v>
      </c>
      <c r="D12" s="6" t="n">
        <v>24813</v>
      </c>
      <c r="E12" s="6" t="n">
        <v>25173</v>
      </c>
      <c r="F12" s="6" t="n">
        <v>26728</v>
      </c>
      <c r="G12" s="6" t="n">
        <v>28593</v>
      </c>
      <c r="H12" s="6" t="n">
        <v>29901</v>
      </c>
      <c r="I12" s="6" t="n">
        <v>27707</v>
      </c>
      <c r="J12" s="6" t="n">
        <v>26018</v>
      </c>
      <c r="K12" s="6" t="n">
        <v>28346</v>
      </c>
      <c r="L12" s="6" t="n">
        <v>34320</v>
      </c>
      <c r="M12" s="6" t="n">
        <v>41880</v>
      </c>
      <c r="N12" s="7" t="n">
        <f aca="false">SUM(B12:M12)</f>
        <v>340241</v>
      </c>
    </row>
    <row r="13" customFormat="false" ht="15" hidden="false" customHeight="false" outlineLevel="0" collapsed="false">
      <c r="A13" s="5" t="s">
        <v>37</v>
      </c>
      <c r="B13" s="6" t="n">
        <v>17922</v>
      </c>
      <c r="C13" s="6" t="n">
        <v>17150</v>
      </c>
      <c r="D13" s="6" t="n">
        <v>18610</v>
      </c>
      <c r="E13" s="6" t="n">
        <v>18880</v>
      </c>
      <c r="F13" s="6" t="n">
        <v>20046</v>
      </c>
      <c r="G13" s="6" t="n">
        <v>21445</v>
      </c>
      <c r="H13" s="6" t="n">
        <v>22426</v>
      </c>
      <c r="I13" s="6" t="n">
        <v>20780</v>
      </c>
      <c r="J13" s="6" t="n">
        <v>19513</v>
      </c>
      <c r="K13" s="6" t="n">
        <v>21259</v>
      </c>
      <c r="L13" s="6" t="n">
        <v>25740</v>
      </c>
      <c r="M13" s="6" t="n">
        <v>31410</v>
      </c>
      <c r="N13" s="7" t="n">
        <f aca="false">SUM(B13:M13)</f>
        <v>255181</v>
      </c>
    </row>
    <row r="14" customFormat="false" ht="15" hidden="false" customHeight="false" outlineLevel="0" collapsed="false">
      <c r="A14" s="5" t="s">
        <v>38</v>
      </c>
      <c r="B14" s="6" t="n">
        <v>25000</v>
      </c>
      <c r="C14" s="6" t="n">
        <v>25000</v>
      </c>
      <c r="D14" s="6" t="n">
        <v>25000</v>
      </c>
      <c r="E14" s="6" t="n">
        <v>25000</v>
      </c>
      <c r="F14" s="6" t="n">
        <v>25000</v>
      </c>
      <c r="G14" s="6" t="n">
        <v>25000</v>
      </c>
      <c r="H14" s="6" t="n">
        <v>25000</v>
      </c>
      <c r="I14" s="6" t="n">
        <v>25000</v>
      </c>
      <c r="J14" s="6" t="n">
        <v>25000</v>
      </c>
      <c r="K14" s="6" t="n">
        <v>25000</v>
      </c>
      <c r="L14" s="6" t="n">
        <v>25000</v>
      </c>
      <c r="M14" s="6" t="n">
        <v>25000</v>
      </c>
      <c r="N14" s="7" t="n">
        <f aca="false">SUM(B14:M14)</f>
        <v>300000</v>
      </c>
    </row>
    <row r="15" customFormat="false" ht="15" hidden="false" customHeight="false" outlineLevel="0" collapsed="false">
      <c r="A15" s="5" t="s">
        <v>39</v>
      </c>
      <c r="B15" s="7" t="n">
        <f aca="false">SUM(B10:B14)</f>
        <v>230218</v>
      </c>
      <c r="C15" s="7" t="n">
        <f aca="false">SUM(C10:C14)</f>
        <v>228416</v>
      </c>
      <c r="D15" s="7" t="n">
        <f aca="false">SUM(D10:D14)</f>
        <v>231823</v>
      </c>
      <c r="E15" s="7" t="n">
        <f aca="false">SUM(E10:E14)</f>
        <v>232453</v>
      </c>
      <c r="F15" s="7" t="n">
        <f aca="false">SUM(F10:F14)</f>
        <v>235174</v>
      </c>
      <c r="G15" s="7" t="n">
        <f aca="false">SUM(G10:G14)</f>
        <v>238438</v>
      </c>
      <c r="H15" s="7" t="n">
        <f aca="false">SUM(H10:H14)</f>
        <v>240727</v>
      </c>
      <c r="I15" s="7" t="n">
        <f aca="false">SUM(I10:I14)</f>
        <v>236887</v>
      </c>
      <c r="J15" s="7" t="n">
        <f aca="false">SUM(J10:J14)</f>
        <v>233931</v>
      </c>
      <c r="K15" s="7" t="n">
        <f aca="false">SUM(K10:K14)</f>
        <v>238005</v>
      </c>
      <c r="L15" s="7" t="n">
        <f aca="false">SUM(L10:L14)</f>
        <v>248460</v>
      </c>
      <c r="M15" s="7" t="n">
        <f aca="false">SUM(M10:M14)</f>
        <v>261690</v>
      </c>
      <c r="N15" s="7" t="n">
        <f aca="false">SUM(B15:M15)</f>
        <v>2856222</v>
      </c>
    </row>
    <row r="16" customFormat="false" ht="15" hidden="false" customHeight="false" outlineLevel="0" collapsed="false">
      <c r="A16" s="8" t="s">
        <v>40</v>
      </c>
      <c r="B16" s="9" t="n">
        <f aca="false">B8-B15</f>
        <v>98352</v>
      </c>
      <c r="C16" s="9" t="n">
        <f aca="false">C8-C15</f>
        <v>85991.5</v>
      </c>
      <c r="D16" s="9" t="n">
        <f aca="false">D8-D15</f>
        <v>109351.62</v>
      </c>
      <c r="E16" s="9" t="n">
        <f aca="false">E8-E15</f>
        <v>113678.5</v>
      </c>
      <c r="F16" s="9" t="n">
        <f aca="false">F8-F15</f>
        <v>132342.88</v>
      </c>
      <c r="G16" s="9" t="n">
        <f aca="false">G8-G15</f>
        <v>154713</v>
      </c>
      <c r="H16" s="9" t="n">
        <f aca="false">H8-H15</f>
        <v>170410.38</v>
      </c>
      <c r="I16" s="9" t="n">
        <f aca="false">I8-I15</f>
        <v>144084.25</v>
      </c>
      <c r="J16" s="9" t="n">
        <f aca="false">J8-J15</f>
        <v>123813.75</v>
      </c>
      <c r="K16" s="9" t="n">
        <f aca="false">K8-K15</f>
        <v>151747</v>
      </c>
      <c r="L16" s="9" t="n">
        <f aca="false">L8-L15</f>
        <v>223434.5</v>
      </c>
      <c r="M16" s="9" t="n">
        <f aca="false">M8-M15</f>
        <v>314157.25</v>
      </c>
      <c r="N16" s="9" t="n">
        <f aca="false">SUM(B16:M16)</f>
        <v>1822076.63</v>
      </c>
    </row>
    <row r="17" customFormat="false" ht="15" hidden="false" customHeight="false" outlineLevel="0" collapsed="false">
      <c r="A17" s="5" t="s">
        <v>41</v>
      </c>
      <c r="B17" s="10" t="n">
        <f aca="false">IF(B6=0,0,B16/B6)</f>
        <v>0.164633411449615</v>
      </c>
      <c r="C17" s="10" t="n">
        <f aca="false">IF(C6=0,0,C16/C6)</f>
        <v>0.150426834601592</v>
      </c>
      <c r="D17" s="10" t="n">
        <f aca="false">IF(D6=0,0,D16/D6)</f>
        <v>0.176283306532542</v>
      </c>
      <c r="E17" s="10" t="n">
        <f aca="false">IF(E6=0,0,E16/E6)</f>
        <v>0.180634166494526</v>
      </c>
      <c r="F17" s="10" t="n">
        <f aca="false">IF(F6=0,0,F16/F6)</f>
        <v>0.198055079783751</v>
      </c>
      <c r="G17" s="10" t="n">
        <f aca="false">IF(G6=0,0,G16/G6)</f>
        <v>0.216436305643379</v>
      </c>
      <c r="H17" s="10" t="n">
        <f aca="false">IF(H6=0,0,H16/H6)</f>
        <v>0.22796689062871</v>
      </c>
      <c r="I17" s="10" t="n">
        <f aca="false">IF(I6=0,0,I16/I6)</f>
        <v>0.208011332876168</v>
      </c>
      <c r="J17" s="10" t="n">
        <f aca="false">IF(J6=0,0,J16/J6)</f>
        <v>0.190352374143855</v>
      </c>
      <c r="K17" s="10" t="n">
        <f aca="false">IF(K6=0,0,K16/K6)</f>
        <v>0.214138349514563</v>
      </c>
      <c r="L17" s="10" t="n">
        <f aca="false">IF(L6=0,0,L16/L6)</f>
        <v>0.260416205317078</v>
      </c>
      <c r="M17" s="10" t="n">
        <f aca="false">IF(M6=0,0,M16/M6)</f>
        <v>0.300056112970931</v>
      </c>
      <c r="N17" s="10" t="n">
        <f aca="false">IF(N6=0,0,N16/N6)</f>
        <v>0.21421081184188</v>
      </c>
    </row>
    <row r="18" customFormat="false" ht="15" hidden="false" customHeight="false" outlineLevel="0" collapsed="false">
      <c r="A18" s="5" t="s">
        <v>42</v>
      </c>
      <c r="B18" s="6" t="n">
        <v>22500</v>
      </c>
      <c r="C18" s="6" t="n">
        <v>22500</v>
      </c>
      <c r="D18" s="6" t="n">
        <v>22500</v>
      </c>
      <c r="E18" s="6" t="n">
        <v>22500</v>
      </c>
      <c r="F18" s="6" t="n">
        <v>22500</v>
      </c>
      <c r="G18" s="6" t="n">
        <v>22500</v>
      </c>
      <c r="H18" s="6" t="n">
        <v>22500</v>
      </c>
      <c r="I18" s="6" t="n">
        <v>22500</v>
      </c>
      <c r="J18" s="6" t="n">
        <v>22500</v>
      </c>
      <c r="K18" s="6" t="n">
        <v>22500</v>
      </c>
      <c r="L18" s="6" t="n">
        <v>22500</v>
      </c>
      <c r="M18" s="6" t="n">
        <v>22500</v>
      </c>
      <c r="N18" s="7" t="n">
        <f aca="false">SUM(B18:M18)</f>
        <v>270000</v>
      </c>
    </row>
    <row r="19" customFormat="false" ht="15" hidden="false" customHeight="false" outlineLevel="0" collapsed="false">
      <c r="A19" s="8" t="s">
        <v>43</v>
      </c>
      <c r="B19" s="9" t="n">
        <f aca="false">B16-B18</f>
        <v>75852</v>
      </c>
      <c r="C19" s="9" t="n">
        <f aca="false">C16-C18</f>
        <v>63491.5</v>
      </c>
      <c r="D19" s="9" t="n">
        <f aca="false">D16-D18</f>
        <v>86851.62</v>
      </c>
      <c r="E19" s="9" t="n">
        <f aca="false">E16-E18</f>
        <v>91178.5</v>
      </c>
      <c r="F19" s="9" t="n">
        <f aca="false">F16-F18</f>
        <v>109842.88</v>
      </c>
      <c r="G19" s="9" t="n">
        <f aca="false">G16-G18</f>
        <v>132213</v>
      </c>
      <c r="H19" s="9" t="n">
        <f aca="false">H16-H18</f>
        <v>147910.38</v>
      </c>
      <c r="I19" s="9" t="n">
        <f aca="false">I16-I18</f>
        <v>121584.25</v>
      </c>
      <c r="J19" s="9" t="n">
        <f aca="false">J16-J18</f>
        <v>101313.75</v>
      </c>
      <c r="K19" s="9" t="n">
        <f aca="false">K16-K18</f>
        <v>129247</v>
      </c>
      <c r="L19" s="9" t="n">
        <f aca="false">L16-L18</f>
        <v>200934.5</v>
      </c>
      <c r="M19" s="9" t="n">
        <f aca="false">M16-M18</f>
        <v>291657.25</v>
      </c>
      <c r="N19" s="9" t="n">
        <f aca="false">SUM(B19:M19)</f>
        <v>1552076.63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5" hidden="false" customHeight="false" outlineLevel="0" collapsed="false">
      <c r="A2" s="5" t="s">
        <v>26</v>
      </c>
      <c r="B2" s="6" t="n">
        <v>300381.02</v>
      </c>
      <c r="C2" s="6" t="n">
        <v>295355.52</v>
      </c>
      <c r="D2" s="6" t="n">
        <v>283086.64</v>
      </c>
      <c r="E2" s="6" t="n">
        <v>331042.94</v>
      </c>
      <c r="F2" s="6" t="n">
        <v>312477.52</v>
      </c>
      <c r="G2" s="6" t="n">
        <v>322837.64</v>
      </c>
      <c r="H2" s="6" t="n">
        <v>315817.9</v>
      </c>
      <c r="I2" s="6" t="n">
        <v>354467.54</v>
      </c>
      <c r="J2" s="6" t="n">
        <v>318815.1</v>
      </c>
      <c r="K2" s="7"/>
      <c r="L2" s="7"/>
      <c r="M2" s="7"/>
      <c r="N2" s="7" t="n">
        <f aca="false">SUM(B2:M2)</f>
        <v>2834281.82</v>
      </c>
    </row>
    <row r="3" customFormat="false" ht="15" hidden="false" customHeight="false" outlineLevel="0" collapsed="false">
      <c r="A3" s="5" t="s">
        <v>27</v>
      </c>
      <c r="B3" s="6" t="n">
        <v>56018.43</v>
      </c>
      <c r="C3" s="6" t="n">
        <v>45164.4</v>
      </c>
      <c r="D3" s="6" t="n">
        <v>55054.1</v>
      </c>
      <c r="E3" s="6" t="n">
        <v>45742.9</v>
      </c>
      <c r="F3" s="6" t="n">
        <v>40016.26</v>
      </c>
      <c r="G3" s="6" t="n">
        <v>39335.54</v>
      </c>
      <c r="H3" s="6" t="n">
        <v>31574.04</v>
      </c>
      <c r="I3" s="6" t="n">
        <v>38039.11</v>
      </c>
      <c r="J3" s="6" t="n">
        <v>60354.17</v>
      </c>
      <c r="K3" s="7"/>
      <c r="L3" s="7"/>
      <c r="M3" s="7"/>
      <c r="N3" s="7" t="n">
        <f aca="false">SUM(B3:M3)</f>
        <v>411298.95</v>
      </c>
    </row>
    <row r="4" customFormat="false" ht="15" hidden="false" customHeight="false" outlineLevel="0" collapsed="false">
      <c r="A4" s="5" t="s">
        <v>28</v>
      </c>
      <c r="B4" s="6" t="n">
        <v>100691.07</v>
      </c>
      <c r="C4" s="6" t="n">
        <v>110925.88</v>
      </c>
      <c r="D4" s="6" t="n">
        <v>116751.74</v>
      </c>
      <c r="E4" s="6" t="n">
        <v>119731.86</v>
      </c>
      <c r="F4" s="6" t="n">
        <v>129264.29</v>
      </c>
      <c r="G4" s="6" t="n">
        <v>147818.4</v>
      </c>
      <c r="H4" s="6" t="n">
        <v>188019.72</v>
      </c>
      <c r="I4" s="6" t="n">
        <v>154705.98</v>
      </c>
      <c r="J4" s="6" t="n">
        <v>140705.73</v>
      </c>
      <c r="K4" s="7"/>
      <c r="L4" s="7"/>
      <c r="M4" s="7"/>
      <c r="N4" s="7" t="n">
        <f aca="false">SUM(B4:M4)</f>
        <v>1208614.67</v>
      </c>
    </row>
    <row r="5" customFormat="false" ht="15" hidden="false" customHeight="false" outlineLevel="0" collapsed="false">
      <c r="A5" s="5" t="s">
        <v>29</v>
      </c>
      <c r="B5" s="6" t="n">
        <v>111289.87</v>
      </c>
      <c r="C5" s="6" t="n">
        <v>103950.89</v>
      </c>
      <c r="D5" s="6" t="n">
        <v>116831.47</v>
      </c>
      <c r="E5" s="6" t="n">
        <v>127711.3</v>
      </c>
      <c r="F5" s="6" t="n">
        <v>124334.61</v>
      </c>
      <c r="G5" s="6" t="n">
        <v>155414.55</v>
      </c>
      <c r="H5" s="6" t="n">
        <v>168981.66</v>
      </c>
      <c r="I5" s="6" t="n">
        <v>137516.2</v>
      </c>
      <c r="J5" s="6" t="n">
        <v>120512.83</v>
      </c>
      <c r="K5" s="7"/>
      <c r="L5" s="7"/>
      <c r="M5" s="7"/>
      <c r="N5" s="7" t="n">
        <f aca="false">SUM(B5:M5)</f>
        <v>1166543.38</v>
      </c>
    </row>
    <row r="6" customFormat="false" ht="15" hidden="false" customHeight="false" outlineLevel="0" collapsed="false">
      <c r="A6" s="8" t="s">
        <v>30</v>
      </c>
      <c r="B6" s="9" t="n">
        <f aca="false">SUM(B2:B5)</f>
        <v>568380.39</v>
      </c>
      <c r="C6" s="9" t="n">
        <f aca="false">SUM(C2:C5)</f>
        <v>555396.69</v>
      </c>
      <c r="D6" s="9" t="n">
        <f aca="false">SUM(D2:D5)</f>
        <v>571723.95</v>
      </c>
      <c r="E6" s="9" t="n">
        <f aca="false">SUM(E2:E5)</f>
        <v>624229</v>
      </c>
      <c r="F6" s="9" t="n">
        <f aca="false">SUM(F2:F5)</f>
        <v>606092.68</v>
      </c>
      <c r="G6" s="9" t="n">
        <f aca="false">SUM(G2:G5)</f>
        <v>665406.13</v>
      </c>
      <c r="H6" s="9" t="n">
        <f aca="false">SUM(H2:H5)</f>
        <v>704393.32</v>
      </c>
      <c r="I6" s="9" t="n">
        <f aca="false">SUM(I2:I5)</f>
        <v>684728.83</v>
      </c>
      <c r="J6" s="9" t="n">
        <f aca="false">SUM(J2:J5)</f>
        <v>640387.83</v>
      </c>
      <c r="K6" s="9"/>
      <c r="L6" s="9"/>
      <c r="M6" s="9"/>
      <c r="N6" s="9" t="n">
        <f aca="false">SUM(B6:M6)</f>
        <v>5620738.82</v>
      </c>
    </row>
    <row r="7" customFormat="false" ht="15" hidden="false" customHeight="false" outlineLevel="0" collapsed="false">
      <c r="A7" s="5" t="s">
        <v>31</v>
      </c>
      <c r="B7" s="6" t="n">
        <v>254843.53</v>
      </c>
      <c r="C7" s="6" t="n">
        <v>249245.4</v>
      </c>
      <c r="D7" s="6" t="n">
        <v>253004.24</v>
      </c>
      <c r="E7" s="6" t="n">
        <v>277022.72</v>
      </c>
      <c r="F7" s="6" t="n">
        <v>271760.44</v>
      </c>
      <c r="G7" s="6" t="n">
        <v>296480.96</v>
      </c>
      <c r="H7" s="6" t="n">
        <v>321174.43</v>
      </c>
      <c r="I7" s="6" t="n">
        <v>307084.6</v>
      </c>
      <c r="J7" s="6" t="n">
        <v>285308.02</v>
      </c>
      <c r="K7" s="7"/>
      <c r="L7" s="7"/>
      <c r="M7" s="7"/>
      <c r="N7" s="7" t="n">
        <f aca="false">SUM(B7:M7)</f>
        <v>2515924.34</v>
      </c>
    </row>
    <row r="8" customFormat="false" ht="15" hidden="false" customHeight="false" outlineLevel="0" collapsed="false">
      <c r="A8" s="8" t="s">
        <v>32</v>
      </c>
      <c r="B8" s="9" t="n">
        <f aca="false">B6-B7</f>
        <v>313536.86</v>
      </c>
      <c r="C8" s="9" t="n">
        <f aca="false">C6-C7</f>
        <v>306151.29</v>
      </c>
      <c r="D8" s="9" t="n">
        <f aca="false">D6-D7</f>
        <v>318719.71</v>
      </c>
      <c r="E8" s="9" t="n">
        <f aca="false">E6-E7</f>
        <v>347206.28</v>
      </c>
      <c r="F8" s="9" t="n">
        <f aca="false">F6-F7</f>
        <v>334332.24</v>
      </c>
      <c r="G8" s="9" t="n">
        <f aca="false">G6-G7</f>
        <v>368925.17</v>
      </c>
      <c r="H8" s="9" t="n">
        <f aca="false">H6-H7</f>
        <v>383218.89</v>
      </c>
      <c r="I8" s="9" t="n">
        <f aca="false">I6-I7</f>
        <v>377644.23</v>
      </c>
      <c r="J8" s="9" t="n">
        <f aca="false">J6-J7</f>
        <v>355079.81</v>
      </c>
      <c r="K8" s="9"/>
      <c r="L8" s="9"/>
      <c r="M8" s="9"/>
      <c r="N8" s="9" t="n">
        <f aca="false">SUM(B8:M8)</f>
        <v>3104814.48</v>
      </c>
    </row>
    <row r="9" customFormat="false" ht="15" hidden="false" customHeight="false" outlineLevel="0" collapsed="false">
      <c r="A9" s="5" t="s">
        <v>33</v>
      </c>
      <c r="B9" s="10" t="n">
        <f aca="false">IF(B6=0,0,B8/B6)</f>
        <v>0.551632085688248</v>
      </c>
      <c r="C9" s="10" t="n">
        <f aca="false">IF(C6=0,0,C8/C6)</f>
        <v>0.551229950614218</v>
      </c>
      <c r="D9" s="10" t="n">
        <f aca="false">IF(D6=0,0,D8/D6)</f>
        <v>0.557471328601854</v>
      </c>
      <c r="E9" s="10" t="n">
        <f aca="false">IF(E6=0,0,E8/E6)</f>
        <v>0.556216196299755</v>
      </c>
      <c r="F9" s="10" t="n">
        <f aca="false">IF(F6=0,0,F8/F6)</f>
        <v>0.551619003219112</v>
      </c>
      <c r="G9" s="10" t="n">
        <f aca="false">IF(G6=0,0,G8/G6)</f>
        <v>0.554436085522687</v>
      </c>
      <c r="H9" s="10" t="n">
        <f aca="false">IF(H6=0,0,H8/H6)</f>
        <v>0.544041062172481</v>
      </c>
      <c r="I9" s="10" t="n">
        <f aca="false">IF(I6=0,0,I8/I6)</f>
        <v>0.551523776207875</v>
      </c>
      <c r="J9" s="10" t="n">
        <f aca="false">IF(J6=0,0,J8/J6)</f>
        <v>0.554476199211968</v>
      </c>
      <c r="K9" s="10"/>
      <c r="L9" s="10"/>
      <c r="M9" s="10"/>
      <c r="N9" s="10" t="n">
        <f aca="false">IF(N6=0,0,N8/N6)</f>
        <v>0.552385474477535</v>
      </c>
    </row>
    <row r="10" customFormat="false" ht="15" hidden="false" customHeight="false" outlineLevel="0" collapsed="false">
      <c r="A10" s="5" t="s">
        <v>34</v>
      </c>
      <c r="B10" s="6" t="n">
        <v>144841.88</v>
      </c>
      <c r="C10" s="6" t="n">
        <v>144213.82</v>
      </c>
      <c r="D10" s="6" t="n">
        <v>140247.49</v>
      </c>
      <c r="E10" s="6" t="n">
        <v>139964.28</v>
      </c>
      <c r="F10" s="6" t="n">
        <v>144573.52</v>
      </c>
      <c r="G10" s="6" t="n">
        <v>145445.65</v>
      </c>
      <c r="H10" s="6" t="n">
        <v>149659.32</v>
      </c>
      <c r="I10" s="6" t="n">
        <v>140504.4</v>
      </c>
      <c r="J10" s="6" t="n">
        <v>145331.3</v>
      </c>
      <c r="K10" s="7"/>
      <c r="L10" s="7"/>
      <c r="M10" s="7"/>
      <c r="N10" s="7" t="n">
        <f aca="false">SUM(B10:M10)</f>
        <v>1294781.66</v>
      </c>
    </row>
    <row r="11" customFormat="false" ht="15" hidden="false" customHeight="false" outlineLevel="0" collapsed="false">
      <c r="A11" s="5" t="s">
        <v>35</v>
      </c>
      <c r="B11" s="6" t="n">
        <v>18400</v>
      </c>
      <c r="C11" s="6" t="n">
        <v>18400</v>
      </c>
      <c r="D11" s="6" t="n">
        <v>18400</v>
      </c>
      <c r="E11" s="6" t="n">
        <v>18400</v>
      </c>
      <c r="F11" s="6" t="n">
        <v>18400</v>
      </c>
      <c r="G11" s="6" t="n">
        <v>18400</v>
      </c>
      <c r="H11" s="6" t="n">
        <v>18400</v>
      </c>
      <c r="I11" s="6" t="n">
        <v>18400</v>
      </c>
      <c r="J11" s="6" t="n">
        <v>18400</v>
      </c>
      <c r="K11" s="7"/>
      <c r="L11" s="7"/>
      <c r="M11" s="7"/>
      <c r="N11" s="7" t="n">
        <f aca="false">SUM(B11:M11)</f>
        <v>165600</v>
      </c>
    </row>
    <row r="12" customFormat="false" ht="15" hidden="false" customHeight="false" outlineLevel="0" collapsed="false">
      <c r="A12" s="5" t="s">
        <v>36</v>
      </c>
      <c r="B12" s="6" t="n">
        <v>23871.98</v>
      </c>
      <c r="C12" s="6" t="n">
        <v>23326.66</v>
      </c>
      <c r="D12" s="6" t="n">
        <v>24012.41</v>
      </c>
      <c r="E12" s="6" t="n">
        <v>26217.62</v>
      </c>
      <c r="F12" s="6" t="n">
        <v>25455.89</v>
      </c>
      <c r="G12" s="6" t="n">
        <v>27947.06</v>
      </c>
      <c r="H12" s="6" t="n">
        <v>29584.52</v>
      </c>
      <c r="I12" s="6" t="n">
        <v>28758.61</v>
      </c>
      <c r="J12" s="6" t="n">
        <v>26896.29</v>
      </c>
      <c r="K12" s="7"/>
      <c r="L12" s="7"/>
      <c r="M12" s="7"/>
      <c r="N12" s="7" t="n">
        <f aca="false">SUM(B12:M12)</f>
        <v>236071.04</v>
      </c>
    </row>
    <row r="13" customFormat="false" ht="15" hidden="false" customHeight="false" outlineLevel="0" collapsed="false">
      <c r="A13" s="5" t="s">
        <v>37</v>
      </c>
      <c r="B13" s="6" t="n">
        <v>18697.48</v>
      </c>
      <c r="C13" s="6" t="n">
        <v>21293.18</v>
      </c>
      <c r="D13" s="6" t="n">
        <v>20388.88</v>
      </c>
      <c r="E13" s="6" t="n">
        <v>24578.13</v>
      </c>
      <c r="F13" s="6" t="n">
        <v>22874.09</v>
      </c>
      <c r="G13" s="6" t="n">
        <v>16946.04</v>
      </c>
      <c r="H13" s="6" t="n">
        <v>20226.09</v>
      </c>
      <c r="I13" s="6" t="n">
        <v>26027.38</v>
      </c>
      <c r="J13" s="6" t="n">
        <v>16715.73</v>
      </c>
      <c r="K13" s="7"/>
      <c r="L13" s="7"/>
      <c r="M13" s="7"/>
      <c r="N13" s="7" t="n">
        <f aca="false">SUM(B13:M13)</f>
        <v>187747</v>
      </c>
    </row>
    <row r="14" customFormat="false" ht="15" hidden="false" customHeight="false" outlineLevel="0" collapsed="false">
      <c r="A14" s="5" t="s">
        <v>38</v>
      </c>
      <c r="B14" s="6" t="n">
        <v>27695.39</v>
      </c>
      <c r="C14" s="6" t="n">
        <v>28024.14</v>
      </c>
      <c r="D14" s="6" t="n">
        <v>26963.49</v>
      </c>
      <c r="E14" s="6" t="n">
        <v>27856.69</v>
      </c>
      <c r="F14" s="6" t="n">
        <v>25165.61</v>
      </c>
      <c r="G14" s="6" t="n">
        <v>24208.91</v>
      </c>
      <c r="H14" s="6" t="n">
        <v>24874.82</v>
      </c>
      <c r="I14" s="6" t="n">
        <v>24357.68</v>
      </c>
      <c r="J14" s="6" t="n">
        <v>28535.01</v>
      </c>
      <c r="K14" s="7"/>
      <c r="L14" s="7"/>
      <c r="M14" s="7"/>
      <c r="N14" s="7" t="n">
        <f aca="false">SUM(B14:M14)</f>
        <v>237681.74</v>
      </c>
    </row>
    <row r="15" customFormat="false" ht="15" hidden="false" customHeight="false" outlineLevel="0" collapsed="false">
      <c r="A15" s="5" t="s">
        <v>39</v>
      </c>
      <c r="B15" s="7" t="n">
        <f aca="false">SUM(B10:B14)</f>
        <v>233506.73</v>
      </c>
      <c r="C15" s="7" t="n">
        <f aca="false">SUM(C10:C14)</f>
        <v>235257.8</v>
      </c>
      <c r="D15" s="7" t="n">
        <f aca="false">SUM(D10:D14)</f>
        <v>230012.27</v>
      </c>
      <c r="E15" s="7" t="n">
        <f aca="false">SUM(E10:E14)</f>
        <v>237016.72</v>
      </c>
      <c r="F15" s="7" t="n">
        <f aca="false">SUM(F10:F14)</f>
        <v>236469.11</v>
      </c>
      <c r="G15" s="7" t="n">
        <f aca="false">SUM(G10:G14)</f>
        <v>232947.66</v>
      </c>
      <c r="H15" s="7" t="n">
        <f aca="false">SUM(H10:H14)</f>
        <v>242744.75</v>
      </c>
      <c r="I15" s="7" t="n">
        <f aca="false">SUM(I10:I14)</f>
        <v>238048.07</v>
      </c>
      <c r="J15" s="7" t="n">
        <f aca="false">SUM(J10:J14)</f>
        <v>235878.33</v>
      </c>
      <c r="K15" s="7"/>
      <c r="L15" s="7"/>
      <c r="M15" s="7"/>
      <c r="N15" s="7" t="n">
        <f aca="false">SUM(B15:M15)</f>
        <v>2121881.44</v>
      </c>
    </row>
    <row r="16" customFormat="false" ht="15" hidden="false" customHeight="false" outlineLevel="0" collapsed="false">
      <c r="A16" s="8" t="s">
        <v>40</v>
      </c>
      <c r="B16" s="9" t="n">
        <f aca="false">B8-B15</f>
        <v>80030.13</v>
      </c>
      <c r="C16" s="9" t="n">
        <f aca="false">C8-C15</f>
        <v>70893.49</v>
      </c>
      <c r="D16" s="9" t="n">
        <f aca="false">D8-D15</f>
        <v>88707.4400000001</v>
      </c>
      <c r="E16" s="9" t="n">
        <f aca="false">E8-E15</f>
        <v>110189.56</v>
      </c>
      <c r="F16" s="9" t="n">
        <f aca="false">F8-F15</f>
        <v>97863.1300000001</v>
      </c>
      <c r="G16" s="9" t="n">
        <f aca="false">G8-G15</f>
        <v>135977.51</v>
      </c>
      <c r="H16" s="9" t="n">
        <f aca="false">H8-H15</f>
        <v>140474.14</v>
      </c>
      <c r="I16" s="9" t="n">
        <f aca="false">I8-I15</f>
        <v>139596.16</v>
      </c>
      <c r="J16" s="9" t="n">
        <f aca="false">J8-J15</f>
        <v>119201.48</v>
      </c>
      <c r="K16" s="9"/>
      <c r="L16" s="9"/>
      <c r="M16" s="9"/>
      <c r="N16" s="9" t="n">
        <f aca="false">SUM(B16:M16)</f>
        <v>982933.04</v>
      </c>
    </row>
    <row r="17" customFormat="false" ht="15" hidden="false" customHeight="false" outlineLevel="0" collapsed="false">
      <c r="A17" s="5" t="s">
        <v>41</v>
      </c>
      <c r="B17" s="10" t="n">
        <f aca="false">IF(B6=0,0,B16/B6)</f>
        <v>0.140803819779919</v>
      </c>
      <c r="C17" s="10" t="n">
        <f aca="false">IF(C6=0,0,C16/C6)</f>
        <v>0.127644783046871</v>
      </c>
      <c r="D17" s="10" t="n">
        <f aca="false">IF(D6=0,0,D16/D6)</f>
        <v>0.155157816984928</v>
      </c>
      <c r="E17" s="10" t="n">
        <f aca="false">IF(E6=0,0,E16/E6)</f>
        <v>0.176521052370204</v>
      </c>
      <c r="F17" s="10" t="n">
        <f aca="false">IF(F6=0,0,F16/F6)</f>
        <v>0.161465619416489</v>
      </c>
      <c r="G17" s="10" t="n">
        <f aca="false">IF(G6=0,0,G16/G6)</f>
        <v>0.204352656023773</v>
      </c>
      <c r="H17" s="10" t="n">
        <f aca="false">IF(H6=0,0,H16/H6)</f>
        <v>0.199425712895744</v>
      </c>
      <c r="I17" s="10" t="n">
        <f aca="false">IF(I6=0,0,I16/I6)</f>
        <v>0.203870720617971</v>
      </c>
      <c r="J17" s="10" t="n">
        <f aca="false">IF(J6=0,0,J16/J6)</f>
        <v>0.186139514862423</v>
      </c>
      <c r="K17" s="10"/>
      <c r="L17" s="10"/>
      <c r="M17" s="10"/>
      <c r="N17" s="10" t="n">
        <f aca="false">IF(N6=0,0,N16/N6)</f>
        <v>0.174876127761439</v>
      </c>
    </row>
    <row r="18" customFormat="false" ht="15" hidden="false" customHeight="false" outlineLevel="0" collapsed="false">
      <c r="A18" s="5" t="s">
        <v>42</v>
      </c>
      <c r="B18" s="6" t="n">
        <v>22500</v>
      </c>
      <c r="C18" s="6" t="n">
        <v>22500</v>
      </c>
      <c r="D18" s="6" t="n">
        <v>22500</v>
      </c>
      <c r="E18" s="6" t="n">
        <v>22500</v>
      </c>
      <c r="F18" s="6" t="n">
        <v>22500</v>
      </c>
      <c r="G18" s="6" t="n">
        <v>22500</v>
      </c>
      <c r="H18" s="6" t="n">
        <v>22500</v>
      </c>
      <c r="I18" s="6" t="n">
        <v>22500</v>
      </c>
      <c r="J18" s="6" t="n">
        <v>22500</v>
      </c>
      <c r="K18" s="7"/>
      <c r="L18" s="7"/>
      <c r="M18" s="7"/>
      <c r="N18" s="7" t="n">
        <f aca="false">SUM(B18:M18)</f>
        <v>202500</v>
      </c>
    </row>
    <row r="19" customFormat="false" ht="15" hidden="false" customHeight="false" outlineLevel="0" collapsed="false">
      <c r="A19" s="8" t="s">
        <v>43</v>
      </c>
      <c r="B19" s="9" t="n">
        <f aca="false">B16-B18</f>
        <v>57530.13</v>
      </c>
      <c r="C19" s="9" t="n">
        <f aca="false">C16-C18</f>
        <v>48393.49</v>
      </c>
      <c r="D19" s="9" t="n">
        <f aca="false">D16-D18</f>
        <v>66207.4400000001</v>
      </c>
      <c r="E19" s="9" t="n">
        <f aca="false">E16-E18</f>
        <v>87689.56</v>
      </c>
      <c r="F19" s="9" t="n">
        <f aca="false">F16-F18</f>
        <v>75363.1300000001</v>
      </c>
      <c r="G19" s="9" t="n">
        <f aca="false">G16-G18</f>
        <v>113477.51</v>
      </c>
      <c r="H19" s="9" t="n">
        <f aca="false">H16-H18</f>
        <v>117974.14</v>
      </c>
      <c r="I19" s="9" t="n">
        <f aca="false">I16-I18</f>
        <v>117096.16</v>
      </c>
      <c r="J19" s="9" t="n">
        <f aca="false">J16-J18</f>
        <v>96701.48</v>
      </c>
      <c r="K19" s="9"/>
      <c r="L19" s="9"/>
      <c r="M19" s="9"/>
      <c r="N19" s="9" t="n">
        <f aca="false">SUM(B19:M19)</f>
        <v>780433.04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3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</row>
    <row r="2" customFormat="false" ht="15" hidden="false" customHeight="false" outlineLevel="0" collapsed="false">
      <c r="A2" s="5" t="s">
        <v>26</v>
      </c>
      <c r="B2" s="6" t="n">
        <v>288622.19</v>
      </c>
      <c r="C2" s="6" t="n">
        <v>271605.76</v>
      </c>
      <c r="D2" s="6" t="n">
        <v>276479.32</v>
      </c>
      <c r="E2" s="6" t="n">
        <v>279709.58</v>
      </c>
      <c r="F2" s="6" t="n">
        <v>290606.12</v>
      </c>
      <c r="G2" s="6" t="n">
        <v>329320.3</v>
      </c>
      <c r="H2" s="6" t="n">
        <v>316299.53</v>
      </c>
      <c r="I2" s="6" t="n">
        <v>312757.52</v>
      </c>
      <c r="J2" s="6" t="n">
        <v>295472.74</v>
      </c>
      <c r="K2" s="6" t="n">
        <v>292164.53</v>
      </c>
      <c r="L2" s="6" t="n">
        <v>280577.37</v>
      </c>
      <c r="M2" s="6" t="n">
        <v>315318.79</v>
      </c>
      <c r="N2" s="7" t="n">
        <f aca="false">SUM(B2:M2)</f>
        <v>3548933.75</v>
      </c>
    </row>
    <row r="3" customFormat="false" ht="15" hidden="false" customHeight="false" outlineLevel="0" collapsed="false">
      <c r="A3" s="5" t="s">
        <v>27</v>
      </c>
      <c r="B3" s="6" t="n">
        <v>53373.08</v>
      </c>
      <c r="C3" s="6" t="n">
        <v>41987.26</v>
      </c>
      <c r="D3" s="6" t="n">
        <v>47592.65</v>
      </c>
      <c r="E3" s="6" t="n">
        <v>43441.6</v>
      </c>
      <c r="F3" s="6" t="n">
        <v>37844.58</v>
      </c>
      <c r="G3" s="6" t="n">
        <v>35159.46</v>
      </c>
      <c r="H3" s="6" t="n">
        <v>31167.91</v>
      </c>
      <c r="I3" s="6" t="n">
        <v>33764.9</v>
      </c>
      <c r="J3" s="6" t="n">
        <v>59375</v>
      </c>
      <c r="K3" s="6" t="n">
        <v>108055.29</v>
      </c>
      <c r="L3" s="6" t="n">
        <v>175226.71</v>
      </c>
      <c r="M3" s="6" t="n">
        <v>238741.44</v>
      </c>
      <c r="N3" s="7" t="n">
        <f aca="false">SUM(B3:M3)</f>
        <v>905729.88</v>
      </c>
    </row>
    <row r="4" customFormat="false" ht="15" hidden="false" customHeight="false" outlineLevel="0" collapsed="false">
      <c r="A4" s="5" t="s">
        <v>28</v>
      </c>
      <c r="B4" s="6" t="n">
        <v>92902.73</v>
      </c>
      <c r="C4" s="6" t="n">
        <v>94471.27</v>
      </c>
      <c r="D4" s="6" t="n">
        <v>115706.98</v>
      </c>
      <c r="E4" s="6" t="n">
        <v>121721.56</v>
      </c>
      <c r="F4" s="6" t="n">
        <v>126946.38</v>
      </c>
      <c r="G4" s="6" t="n">
        <v>151904.95</v>
      </c>
      <c r="H4" s="6" t="n">
        <v>165299.09</v>
      </c>
      <c r="I4" s="6" t="n">
        <v>157067.92</v>
      </c>
      <c r="J4" s="6" t="n">
        <v>120556.56</v>
      </c>
      <c r="K4" s="6" t="n">
        <v>133467.75</v>
      </c>
      <c r="L4" s="6" t="n">
        <v>199371.3</v>
      </c>
      <c r="M4" s="6" t="n">
        <v>305122.23</v>
      </c>
      <c r="N4" s="7" t="n">
        <f aca="false">SUM(B4:M4)</f>
        <v>1784538.72</v>
      </c>
    </row>
    <row r="5" customFormat="false" ht="15" hidden="false" customHeight="false" outlineLevel="0" collapsed="false">
      <c r="A5" s="5" t="s">
        <v>29</v>
      </c>
      <c r="B5" s="6" t="n">
        <v>103561.6</v>
      </c>
      <c r="C5" s="6" t="n">
        <v>103652.96</v>
      </c>
      <c r="D5" s="6" t="n">
        <v>109628.28</v>
      </c>
      <c r="E5" s="6" t="n">
        <v>115864.33</v>
      </c>
      <c r="F5" s="6" t="n">
        <v>132849.15</v>
      </c>
      <c r="G5" s="6" t="n">
        <v>144338.85</v>
      </c>
      <c r="H5" s="6" t="n">
        <v>147588.84</v>
      </c>
      <c r="I5" s="6" t="n">
        <v>136034.9</v>
      </c>
      <c r="J5" s="6" t="n">
        <v>105908.43</v>
      </c>
      <c r="K5" s="6" t="n">
        <v>104686.42</v>
      </c>
      <c r="L5" s="6" t="n">
        <v>104056.29</v>
      </c>
      <c r="M5" s="6" t="n">
        <v>102070.48</v>
      </c>
      <c r="N5" s="7" t="n">
        <f aca="false">SUM(B5:M5)</f>
        <v>1410240.53</v>
      </c>
    </row>
    <row r="6" customFormat="false" ht="15" hidden="false" customHeight="false" outlineLevel="0" collapsed="false">
      <c r="A6" s="8" t="s">
        <v>30</v>
      </c>
      <c r="B6" s="9" t="n">
        <f aca="false">SUM(B2:B5)</f>
        <v>538459.6</v>
      </c>
      <c r="C6" s="9" t="n">
        <f aca="false">SUM(C2:C5)</f>
        <v>511717.25</v>
      </c>
      <c r="D6" s="9" t="n">
        <f aca="false">SUM(D2:D5)</f>
        <v>549407.23</v>
      </c>
      <c r="E6" s="9" t="n">
        <f aca="false">SUM(E2:E5)</f>
        <v>560737.07</v>
      </c>
      <c r="F6" s="9" t="n">
        <f aca="false">SUM(F2:F5)</f>
        <v>588246.23</v>
      </c>
      <c r="G6" s="9" t="n">
        <f aca="false">SUM(G2:G5)</f>
        <v>660723.56</v>
      </c>
      <c r="H6" s="9" t="n">
        <f aca="false">SUM(H2:H5)</f>
        <v>660355.37</v>
      </c>
      <c r="I6" s="9" t="n">
        <f aca="false">SUM(I2:I5)</f>
        <v>639625.24</v>
      </c>
      <c r="J6" s="9" t="n">
        <f aca="false">SUM(J2:J5)</f>
        <v>581312.73</v>
      </c>
      <c r="K6" s="9" t="n">
        <f aca="false">SUM(K2:K5)</f>
        <v>638373.99</v>
      </c>
      <c r="L6" s="9" t="n">
        <f aca="false">SUM(L2:L5)</f>
        <v>759231.67</v>
      </c>
      <c r="M6" s="9" t="n">
        <f aca="false">SUM(M2:M5)</f>
        <v>961252.94</v>
      </c>
      <c r="N6" s="9" t="n">
        <f aca="false">SUM(B6:M6)</f>
        <v>7649442.88</v>
      </c>
    </row>
    <row r="7" customFormat="false" ht="15" hidden="false" customHeight="false" outlineLevel="0" collapsed="false">
      <c r="A7" s="5" t="s">
        <v>31</v>
      </c>
      <c r="B7" s="6" t="n">
        <v>297887.35</v>
      </c>
      <c r="C7" s="6" t="n">
        <v>290096.53</v>
      </c>
      <c r="D7" s="6" t="n">
        <v>309365.97</v>
      </c>
      <c r="E7" s="6" t="n">
        <v>314408.93</v>
      </c>
      <c r="F7" s="6" t="n">
        <v>327562.16</v>
      </c>
      <c r="G7" s="6" t="n">
        <v>368956.22</v>
      </c>
      <c r="H7" s="6" t="n">
        <v>367453.42</v>
      </c>
      <c r="I7" s="6" t="n">
        <v>364200.51</v>
      </c>
      <c r="J7" s="6" t="n">
        <v>323813.78</v>
      </c>
      <c r="K7" s="6" t="n">
        <v>352589.27</v>
      </c>
      <c r="L7" s="6" t="n">
        <v>430253.32</v>
      </c>
      <c r="M7" s="6" t="n">
        <v>535459.7</v>
      </c>
      <c r="N7" s="7" t="n">
        <f aca="false">SUM(B7:M7)</f>
        <v>4282047.16</v>
      </c>
    </row>
    <row r="8" customFormat="false" ht="15" hidden="false" customHeight="false" outlineLevel="0" collapsed="false">
      <c r="A8" s="8" t="s">
        <v>32</v>
      </c>
      <c r="B8" s="9" t="n">
        <f aca="false">B6-B7</f>
        <v>240572.25</v>
      </c>
      <c r="C8" s="9" t="n">
        <f aca="false">C6-C7</f>
        <v>221620.72</v>
      </c>
      <c r="D8" s="9" t="n">
        <f aca="false">D6-D7</f>
        <v>240041.26</v>
      </c>
      <c r="E8" s="9" t="n">
        <f aca="false">E6-E7</f>
        <v>246328.14</v>
      </c>
      <c r="F8" s="9" t="n">
        <f aca="false">F6-F7</f>
        <v>260684.07</v>
      </c>
      <c r="G8" s="9" t="n">
        <f aca="false">G6-G7</f>
        <v>291767.34</v>
      </c>
      <c r="H8" s="9" t="n">
        <f aca="false">H6-H7</f>
        <v>292901.95</v>
      </c>
      <c r="I8" s="9" t="n">
        <f aca="false">I6-I7</f>
        <v>275424.73</v>
      </c>
      <c r="J8" s="9" t="n">
        <f aca="false">J6-J7</f>
        <v>257498.95</v>
      </c>
      <c r="K8" s="9" t="n">
        <f aca="false">K6-K7</f>
        <v>285784.72</v>
      </c>
      <c r="L8" s="9" t="n">
        <f aca="false">L6-L7</f>
        <v>328978.35</v>
      </c>
      <c r="M8" s="9" t="n">
        <f aca="false">M6-M7</f>
        <v>425793.24</v>
      </c>
      <c r="N8" s="9" t="n">
        <f aca="false">SUM(B8:M8)</f>
        <v>3367395.72</v>
      </c>
    </row>
    <row r="9" customFormat="false" ht="15" hidden="false" customHeight="false" outlineLevel="0" collapsed="false">
      <c r="A9" s="5" t="s">
        <v>33</v>
      </c>
      <c r="B9" s="10" t="n">
        <f aca="false">IF(B6=0,0,B8/B6)</f>
        <v>0.446778644117405</v>
      </c>
      <c r="C9" s="10" t="n">
        <f aca="false">IF(C6=0,0,C8/C6)</f>
        <v>0.43309214219376</v>
      </c>
      <c r="D9" s="10" t="n">
        <f aca="false">IF(D6=0,0,D8/D6)</f>
        <v>0.436909539759788</v>
      </c>
      <c r="E9" s="10" t="n">
        <f aca="false">IF(E6=0,0,E8/E6)</f>
        <v>0.439293482059248</v>
      </c>
      <c r="F9" s="10" t="n">
        <f aca="false">IF(F6=0,0,F8/F6)</f>
        <v>0.443154680311338</v>
      </c>
      <c r="G9" s="10" t="n">
        <f aca="false">IF(G6=0,0,G8/G6)</f>
        <v>0.441587613433975</v>
      </c>
      <c r="H9" s="10" t="n">
        <f aca="false">IF(H6=0,0,H8/H6)</f>
        <v>0.443552007459256</v>
      </c>
      <c r="I9" s="10" t="n">
        <f aca="false">IF(I6=0,0,I8/I6)</f>
        <v>0.430603285761519</v>
      </c>
      <c r="J9" s="10" t="n">
        <f aca="false">IF(J6=0,0,J8/J6)</f>
        <v>0.442961140727126</v>
      </c>
      <c r="K9" s="10" t="n">
        <f aca="false">IF(K6=0,0,K8/K6)</f>
        <v>0.447676008854935</v>
      </c>
      <c r="L9" s="10" t="n">
        <f aca="false">IF(L6=0,0,L8/L6)</f>
        <v>0.433304303546768</v>
      </c>
      <c r="M9" s="10" t="n">
        <f aca="false">IF(M6=0,0,M8/M6)</f>
        <v>0.442956502166849</v>
      </c>
      <c r="N9" s="10" t="n">
        <f aca="false">IF(N6=0,0,N8/N6)</f>
        <v>0.44021450618375</v>
      </c>
    </row>
    <row r="10" customFormat="false" ht="15" hidden="false" customHeight="false" outlineLevel="0" collapsed="false">
      <c r="A10" s="5" t="s">
        <v>34</v>
      </c>
      <c r="B10" s="6" t="n">
        <v>136882.93</v>
      </c>
      <c r="C10" s="6" t="n">
        <v>134627.43</v>
      </c>
      <c r="D10" s="6" t="n">
        <v>138966.94</v>
      </c>
      <c r="E10" s="6" t="n">
        <v>136662.47</v>
      </c>
      <c r="F10" s="6" t="n">
        <v>139411.32</v>
      </c>
      <c r="G10" s="6" t="n">
        <v>134716.88</v>
      </c>
      <c r="H10" s="6" t="n">
        <v>136509.04</v>
      </c>
      <c r="I10" s="6" t="n">
        <v>135874.77</v>
      </c>
      <c r="J10" s="6" t="n">
        <v>136759.77</v>
      </c>
      <c r="K10" s="6" t="n">
        <v>133703.31</v>
      </c>
      <c r="L10" s="6" t="n">
        <v>139791.87</v>
      </c>
      <c r="M10" s="6" t="n">
        <v>138758.54</v>
      </c>
      <c r="N10" s="7" t="n">
        <f aca="false">SUM(B10:M10)</f>
        <v>1642665.27</v>
      </c>
    </row>
    <row r="11" customFormat="false" ht="15" hidden="false" customHeight="false" outlineLevel="0" collapsed="false">
      <c r="A11" s="5" t="s">
        <v>35</v>
      </c>
      <c r="B11" s="6" t="n">
        <v>17900</v>
      </c>
      <c r="C11" s="6" t="n">
        <v>17900</v>
      </c>
      <c r="D11" s="6" t="n">
        <v>17900</v>
      </c>
      <c r="E11" s="6" t="n">
        <v>17900</v>
      </c>
      <c r="F11" s="6" t="n">
        <v>17900</v>
      </c>
      <c r="G11" s="6" t="n">
        <v>17900</v>
      </c>
      <c r="H11" s="6" t="n">
        <v>17900</v>
      </c>
      <c r="I11" s="6" t="n">
        <v>17900</v>
      </c>
      <c r="J11" s="6" t="n">
        <v>17900</v>
      </c>
      <c r="K11" s="6" t="n">
        <v>17900</v>
      </c>
      <c r="L11" s="6" t="n">
        <v>17900</v>
      </c>
      <c r="M11" s="6" t="n">
        <v>17900</v>
      </c>
      <c r="N11" s="7" t="n">
        <f aca="false">SUM(B11:M11)</f>
        <v>214800</v>
      </c>
    </row>
    <row r="12" customFormat="false" ht="15" hidden="false" customHeight="false" outlineLevel="0" collapsed="false">
      <c r="A12" s="5" t="s">
        <v>36</v>
      </c>
      <c r="B12" s="6" t="n">
        <v>23153.76</v>
      </c>
      <c r="C12" s="6" t="n">
        <v>22003.84</v>
      </c>
      <c r="D12" s="6" t="n">
        <v>23624.51</v>
      </c>
      <c r="E12" s="6" t="n">
        <v>24111.69</v>
      </c>
      <c r="F12" s="6" t="n">
        <v>25294.59</v>
      </c>
      <c r="G12" s="6" t="n">
        <v>28411.11</v>
      </c>
      <c r="H12" s="6" t="n">
        <v>28395.28</v>
      </c>
      <c r="I12" s="6" t="n">
        <v>27503.89</v>
      </c>
      <c r="J12" s="6" t="n">
        <v>24996.45</v>
      </c>
      <c r="K12" s="6" t="n">
        <v>27450.08</v>
      </c>
      <c r="L12" s="6" t="n">
        <v>32646.96</v>
      </c>
      <c r="M12" s="6" t="n">
        <v>41333.88</v>
      </c>
      <c r="N12" s="7" t="n">
        <f aca="false">SUM(B12:M12)</f>
        <v>328926.04</v>
      </c>
    </row>
    <row r="13" customFormat="false" ht="15" hidden="false" customHeight="false" outlineLevel="0" collapsed="false">
      <c r="A13" s="5" t="s">
        <v>37</v>
      </c>
      <c r="B13" s="6" t="n">
        <v>16153.79</v>
      </c>
      <c r="C13" s="6" t="n">
        <v>15351.52</v>
      </c>
      <c r="D13" s="6" t="n">
        <v>16482.22</v>
      </c>
      <c r="E13" s="6" t="n">
        <v>16822.11</v>
      </c>
      <c r="F13" s="6" t="n">
        <v>17647.39</v>
      </c>
      <c r="G13" s="6" t="n">
        <v>19821.71</v>
      </c>
      <c r="H13" s="6" t="n">
        <v>19810.66</v>
      </c>
      <c r="I13" s="6" t="n">
        <v>19188.76</v>
      </c>
      <c r="J13" s="6" t="n">
        <v>17439.38</v>
      </c>
      <c r="K13" s="6" t="n">
        <v>19151.22</v>
      </c>
      <c r="L13" s="6" t="n">
        <v>22776.95</v>
      </c>
      <c r="M13" s="6" t="n">
        <v>28837.59</v>
      </c>
      <c r="N13" s="7" t="n">
        <f aca="false">SUM(B13:M13)</f>
        <v>229483.3</v>
      </c>
    </row>
    <row r="14" customFormat="false" ht="15" hidden="false" customHeight="false" outlineLevel="0" collapsed="false">
      <c r="A14" s="5" t="s">
        <v>38</v>
      </c>
      <c r="B14" s="6" t="n">
        <v>22745.49</v>
      </c>
      <c r="C14" s="6" t="n">
        <v>26258.74</v>
      </c>
      <c r="D14" s="6" t="n">
        <v>22467.92</v>
      </c>
      <c r="E14" s="6" t="n">
        <v>23673.78</v>
      </c>
      <c r="F14" s="6" t="n">
        <v>23544.42</v>
      </c>
      <c r="G14" s="6" t="n">
        <v>25955.89</v>
      </c>
      <c r="H14" s="6" t="n">
        <v>26103.66</v>
      </c>
      <c r="I14" s="6" t="n">
        <v>26856.43</v>
      </c>
      <c r="J14" s="6" t="n">
        <v>23485.13</v>
      </c>
      <c r="K14" s="6" t="n">
        <v>23352.77</v>
      </c>
      <c r="L14" s="6" t="n">
        <v>24975.8</v>
      </c>
      <c r="M14" s="6" t="n">
        <v>22712.8</v>
      </c>
      <c r="N14" s="7" t="n">
        <f aca="false">SUM(B14:M14)</f>
        <v>292132.83</v>
      </c>
    </row>
    <row r="15" customFormat="false" ht="15" hidden="false" customHeight="false" outlineLevel="0" collapsed="false">
      <c r="A15" s="5" t="s">
        <v>39</v>
      </c>
      <c r="B15" s="7" t="n">
        <f aca="false">SUM(B10:B14)</f>
        <v>216835.97</v>
      </c>
      <c r="C15" s="7" t="n">
        <f aca="false">SUM(C10:C14)</f>
        <v>216141.53</v>
      </c>
      <c r="D15" s="7" t="n">
        <f aca="false">SUM(D10:D14)</f>
        <v>219441.59</v>
      </c>
      <c r="E15" s="7" t="n">
        <f aca="false">SUM(E10:E14)</f>
        <v>219170.05</v>
      </c>
      <c r="F15" s="7" t="n">
        <f aca="false">SUM(F10:F14)</f>
        <v>223797.72</v>
      </c>
      <c r="G15" s="7" t="n">
        <f aca="false">SUM(G10:G14)</f>
        <v>226805.59</v>
      </c>
      <c r="H15" s="7" t="n">
        <f aca="false">SUM(H10:H14)</f>
        <v>228718.64</v>
      </c>
      <c r="I15" s="7" t="n">
        <f aca="false">SUM(I10:I14)</f>
        <v>227323.85</v>
      </c>
      <c r="J15" s="7" t="n">
        <f aca="false">SUM(J10:J14)</f>
        <v>220580.73</v>
      </c>
      <c r="K15" s="7" t="n">
        <f aca="false">SUM(K10:K14)</f>
        <v>221557.38</v>
      </c>
      <c r="L15" s="7" t="n">
        <f aca="false">SUM(L10:L14)</f>
        <v>238091.58</v>
      </c>
      <c r="M15" s="7" t="n">
        <f aca="false">SUM(M10:M14)</f>
        <v>249542.81</v>
      </c>
      <c r="N15" s="7" t="n">
        <f aca="false">SUM(B15:M15)</f>
        <v>2708007.44</v>
      </c>
    </row>
    <row r="16" customFormat="false" ht="15" hidden="false" customHeight="false" outlineLevel="0" collapsed="false">
      <c r="A16" s="8" t="s">
        <v>40</v>
      </c>
      <c r="B16" s="9" t="n">
        <f aca="false">B8-B15</f>
        <v>23736.28</v>
      </c>
      <c r="C16" s="9" t="n">
        <f aca="false">C8-C15</f>
        <v>5479.18999999997</v>
      </c>
      <c r="D16" s="9" t="n">
        <f aca="false">D8-D15</f>
        <v>20599.67</v>
      </c>
      <c r="E16" s="9" t="n">
        <f aca="false">E8-E15</f>
        <v>27158.0900000001</v>
      </c>
      <c r="F16" s="9" t="n">
        <f aca="false">F8-F15</f>
        <v>36886.35</v>
      </c>
      <c r="G16" s="9" t="n">
        <f aca="false">G8-G15</f>
        <v>64961.7500000001</v>
      </c>
      <c r="H16" s="9" t="n">
        <f aca="false">H8-H15</f>
        <v>64183.31</v>
      </c>
      <c r="I16" s="9" t="n">
        <f aca="false">I8-I15</f>
        <v>48100.88</v>
      </c>
      <c r="J16" s="9" t="n">
        <f aca="false">J8-J15</f>
        <v>36918.22</v>
      </c>
      <c r="K16" s="9" t="n">
        <f aca="false">K8-K15</f>
        <v>64227.34</v>
      </c>
      <c r="L16" s="9" t="n">
        <f aca="false">L8-L15</f>
        <v>90886.7699999999</v>
      </c>
      <c r="M16" s="9" t="n">
        <f aca="false">M8-M15</f>
        <v>176250.43</v>
      </c>
      <c r="N16" s="9" t="n">
        <f aca="false">SUM(B16:M16)</f>
        <v>659388.28</v>
      </c>
    </row>
    <row r="17" customFormat="false" ht="15" hidden="false" customHeight="false" outlineLevel="0" collapsed="false">
      <c r="A17" s="5" t="s">
        <v>41</v>
      </c>
      <c r="B17" s="10" t="n">
        <f aca="false">IF(B6=0,0,B16/B6)</f>
        <v>0.0440818215517004</v>
      </c>
      <c r="C17" s="10" t="n">
        <f aca="false">IF(C6=0,0,C16/C6)</f>
        <v>0.010707456119566</v>
      </c>
      <c r="D17" s="10" t="n">
        <f aca="false">IF(D6=0,0,D16/D6)</f>
        <v>0.0374943555074803</v>
      </c>
      <c r="E17" s="10" t="n">
        <f aca="false">IF(E6=0,0,E16/E6)</f>
        <v>0.0484328421518486</v>
      </c>
      <c r="F17" s="10" t="n">
        <f aca="false">IF(F6=0,0,F16/F6)</f>
        <v>0.0627056292396468</v>
      </c>
      <c r="G17" s="10" t="n">
        <f aca="false">IF(G6=0,0,G16/G6)</f>
        <v>0.0983191064051055</v>
      </c>
      <c r="H17" s="10" t="n">
        <f aca="false">IF(H6=0,0,H16/H6)</f>
        <v>0.0971951057201216</v>
      </c>
      <c r="I17" s="10" t="n">
        <f aca="false">IF(I6=0,0,I16/I6)</f>
        <v>0.0752016602721932</v>
      </c>
      <c r="J17" s="10" t="n">
        <f aca="false">IF(J6=0,0,J16/J6)</f>
        <v>0.06350836321785</v>
      </c>
      <c r="K17" s="10" t="n">
        <f aca="false">IF(K6=0,0,K16/K6)</f>
        <v>0.100610834724015</v>
      </c>
      <c r="L17" s="10" t="n">
        <f aca="false">IF(L6=0,0,L16/L6)</f>
        <v>0.119708876211657</v>
      </c>
      <c r="M17" s="10" t="n">
        <f aca="false">IF(M6=0,0,M16/M6)</f>
        <v>0.183354893041992</v>
      </c>
      <c r="N17" s="10" t="n">
        <f aca="false">IF(N6=0,0,N16/N6)</f>
        <v>0.086200824078838</v>
      </c>
    </row>
    <row r="18" customFormat="false" ht="15" hidden="false" customHeight="false" outlineLevel="0" collapsed="false">
      <c r="A18" s="5" t="s">
        <v>42</v>
      </c>
      <c r="B18" s="6" t="n">
        <v>21000</v>
      </c>
      <c r="C18" s="6" t="n">
        <v>21000</v>
      </c>
      <c r="D18" s="6" t="n">
        <v>21000</v>
      </c>
      <c r="E18" s="6" t="n">
        <v>21000</v>
      </c>
      <c r="F18" s="6" t="n">
        <v>21000</v>
      </c>
      <c r="G18" s="6" t="n">
        <v>21000</v>
      </c>
      <c r="H18" s="6" t="n">
        <v>21000</v>
      </c>
      <c r="I18" s="6" t="n">
        <v>21000</v>
      </c>
      <c r="J18" s="6" t="n">
        <v>21000</v>
      </c>
      <c r="K18" s="6" t="n">
        <v>21000</v>
      </c>
      <c r="L18" s="6" t="n">
        <v>21000</v>
      </c>
      <c r="M18" s="6" t="n">
        <v>21000</v>
      </c>
      <c r="N18" s="7" t="n">
        <f aca="false">SUM(B18:M18)</f>
        <v>252000</v>
      </c>
    </row>
    <row r="19" customFormat="false" ht="15" hidden="false" customHeight="false" outlineLevel="0" collapsed="false">
      <c r="A19" s="8" t="s">
        <v>43</v>
      </c>
      <c r="B19" s="9" t="n">
        <f aca="false">B16-B18</f>
        <v>2736.28</v>
      </c>
      <c r="C19" s="9" t="n">
        <f aca="false">C16-C18</f>
        <v>-15520.81</v>
      </c>
      <c r="D19" s="9" t="n">
        <f aca="false">D16-D18</f>
        <v>-400.329999999987</v>
      </c>
      <c r="E19" s="9" t="n">
        <f aca="false">E16-E18</f>
        <v>6158.09000000008</v>
      </c>
      <c r="F19" s="9" t="n">
        <f aca="false">F16-F18</f>
        <v>15886.35</v>
      </c>
      <c r="G19" s="9" t="n">
        <f aca="false">G16-G18</f>
        <v>43961.7500000001</v>
      </c>
      <c r="H19" s="9" t="n">
        <f aca="false">H16-H18</f>
        <v>43183.31</v>
      </c>
      <c r="I19" s="9" t="n">
        <f aca="false">I16-I18</f>
        <v>27100.88</v>
      </c>
      <c r="J19" s="9" t="n">
        <f aca="false">J16-J18</f>
        <v>15918.22</v>
      </c>
      <c r="K19" s="9" t="n">
        <f aca="false">K16-K18</f>
        <v>43227.34</v>
      </c>
      <c r="L19" s="9" t="n">
        <f aca="false">L16-L18</f>
        <v>69886.7699999999</v>
      </c>
      <c r="M19" s="9" t="n">
        <f aca="false">M16-M18</f>
        <v>155250.43</v>
      </c>
      <c r="N19" s="9" t="n">
        <f aca="false">SUM(B19:M19)</f>
        <v>407388.28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11" min="8" style="0" width="14"/>
  </cols>
  <sheetData>
    <row r="1" customFormat="false" ht="39.55" hidden="false" customHeight="false" outlineLevel="0" collapsed="false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</row>
    <row r="2" customFormat="false" ht="15" hidden="false" customHeight="false" outlineLevel="0" collapsed="false">
      <c r="A2" s="11" t="n">
        <v>46023</v>
      </c>
      <c r="B2" s="5" t="s">
        <v>55</v>
      </c>
      <c r="C2" s="5" t="s">
        <v>56</v>
      </c>
      <c r="D2" s="5" t="s">
        <v>57</v>
      </c>
      <c r="E2" s="5" t="s">
        <v>58</v>
      </c>
      <c r="F2" s="5" t="s">
        <v>59</v>
      </c>
      <c r="G2" s="5" t="n">
        <v>3009</v>
      </c>
      <c r="H2" s="12" t="n">
        <v>3.9</v>
      </c>
      <c r="I2" s="12" t="n">
        <v>11735.1</v>
      </c>
      <c r="J2" s="12" t="n">
        <v>5115.3</v>
      </c>
      <c r="K2" s="12" t="n">
        <f aca="false">I2-J2</f>
        <v>6619.8</v>
      </c>
    </row>
    <row r="3" customFormat="false" ht="15" hidden="false" customHeight="false" outlineLevel="0" collapsed="false">
      <c r="A3" s="11" t="n">
        <v>46023</v>
      </c>
      <c r="B3" s="5" t="s">
        <v>60</v>
      </c>
      <c r="C3" s="5" t="s">
        <v>56</v>
      </c>
      <c r="D3" s="5" t="s">
        <v>57</v>
      </c>
      <c r="E3" s="5" t="s">
        <v>58</v>
      </c>
      <c r="F3" s="5" t="s">
        <v>61</v>
      </c>
      <c r="G3" s="5" t="n">
        <v>479</v>
      </c>
      <c r="H3" s="12" t="n">
        <v>24.5</v>
      </c>
      <c r="I3" s="12" t="n">
        <v>11735.5</v>
      </c>
      <c r="J3" s="12" t="n">
        <v>5652.2</v>
      </c>
      <c r="K3" s="12" t="n">
        <f aca="false">I3-J3</f>
        <v>6083.3</v>
      </c>
    </row>
    <row r="4" customFormat="false" ht="15" hidden="false" customHeight="false" outlineLevel="0" collapsed="false">
      <c r="A4" s="11" t="n">
        <v>46023</v>
      </c>
      <c r="B4" s="5" t="s">
        <v>62</v>
      </c>
      <c r="C4" s="5" t="s">
        <v>63</v>
      </c>
      <c r="D4" s="5" t="s">
        <v>64</v>
      </c>
      <c r="E4" s="5" t="s">
        <v>65</v>
      </c>
      <c r="F4" s="5" t="s">
        <v>66</v>
      </c>
      <c r="G4" s="5" t="n">
        <v>334</v>
      </c>
      <c r="H4" s="12" t="n">
        <v>24.9</v>
      </c>
      <c r="I4" s="12" t="n">
        <v>8316.6</v>
      </c>
      <c r="J4" s="12" t="n">
        <v>3807.6</v>
      </c>
      <c r="K4" s="12" t="n">
        <f aca="false">I4-J4</f>
        <v>4509</v>
      </c>
    </row>
    <row r="5" customFormat="false" ht="15" hidden="false" customHeight="false" outlineLevel="0" collapsed="false">
      <c r="A5" s="11" t="n">
        <v>46023</v>
      </c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5" t="n">
        <v>445</v>
      </c>
      <c r="H5" s="12" t="n">
        <v>2.95</v>
      </c>
      <c r="I5" s="12" t="n">
        <v>1312.75</v>
      </c>
      <c r="J5" s="12" t="n">
        <v>578.5</v>
      </c>
      <c r="K5" s="12" t="n">
        <f aca="false">I5-J5</f>
        <v>734.25</v>
      </c>
    </row>
    <row r="6" customFormat="false" ht="15" hidden="false" customHeight="false" outlineLevel="0" collapsed="false">
      <c r="A6" s="11" t="n">
        <v>46024</v>
      </c>
      <c r="B6" s="5" t="s">
        <v>72</v>
      </c>
      <c r="C6" s="5" t="s">
        <v>73</v>
      </c>
      <c r="D6" s="5" t="s">
        <v>64</v>
      </c>
      <c r="E6" s="5" t="s">
        <v>58</v>
      </c>
      <c r="F6" s="5" t="s">
        <v>61</v>
      </c>
      <c r="G6" s="5" t="n">
        <v>374</v>
      </c>
      <c r="H6" s="12" t="n">
        <v>23.52</v>
      </c>
      <c r="I6" s="12" t="n">
        <v>8796.48</v>
      </c>
      <c r="J6" s="12" t="n">
        <v>4413.2</v>
      </c>
      <c r="K6" s="12" t="n">
        <f aca="false">I6-J6</f>
        <v>4383.28</v>
      </c>
    </row>
    <row r="7" customFormat="false" ht="15" hidden="false" customHeight="false" outlineLevel="0" collapsed="false">
      <c r="A7" s="11" t="n">
        <v>46024</v>
      </c>
      <c r="B7" s="5" t="s">
        <v>74</v>
      </c>
      <c r="C7" s="5" t="s">
        <v>73</v>
      </c>
      <c r="D7" s="5" t="s">
        <v>64</v>
      </c>
      <c r="E7" s="5" t="s">
        <v>75</v>
      </c>
      <c r="F7" s="5" t="s">
        <v>76</v>
      </c>
      <c r="G7" s="5" t="n">
        <v>591</v>
      </c>
      <c r="H7" s="12" t="n">
        <v>4.61</v>
      </c>
      <c r="I7" s="12" t="n">
        <v>2724.51</v>
      </c>
      <c r="J7" s="12" t="n">
        <v>1211.55</v>
      </c>
      <c r="K7" s="12" t="n">
        <f aca="false">I7-J7</f>
        <v>1512.96</v>
      </c>
    </row>
    <row r="8" customFormat="false" ht="15" hidden="false" customHeight="false" outlineLevel="0" collapsed="false">
      <c r="A8" s="11" t="n">
        <v>46024</v>
      </c>
      <c r="B8" s="5" t="s">
        <v>77</v>
      </c>
      <c r="C8" s="5" t="s">
        <v>68</v>
      </c>
      <c r="D8" s="5" t="s">
        <v>69</v>
      </c>
      <c r="E8" s="5" t="s">
        <v>75</v>
      </c>
      <c r="F8" s="5" t="s">
        <v>78</v>
      </c>
      <c r="G8" s="5" t="n">
        <v>252</v>
      </c>
      <c r="H8" s="12" t="n">
        <v>6.1</v>
      </c>
      <c r="I8" s="12" t="n">
        <v>1537.2</v>
      </c>
      <c r="J8" s="12" t="n">
        <v>655.2</v>
      </c>
      <c r="K8" s="12" t="n">
        <f aca="false">I8-J8</f>
        <v>882</v>
      </c>
    </row>
    <row r="9" customFormat="false" ht="15" hidden="false" customHeight="false" outlineLevel="0" collapsed="false">
      <c r="A9" s="11" t="n">
        <v>46024</v>
      </c>
      <c r="B9" s="5" t="s">
        <v>79</v>
      </c>
      <c r="C9" s="5" t="s">
        <v>56</v>
      </c>
      <c r="D9" s="5" t="s">
        <v>57</v>
      </c>
      <c r="E9" s="5" t="s">
        <v>75</v>
      </c>
      <c r="F9" s="5" t="s">
        <v>78</v>
      </c>
      <c r="G9" s="5" t="n">
        <v>533</v>
      </c>
      <c r="H9" s="12" t="n">
        <v>6.1</v>
      </c>
      <c r="I9" s="12" t="n">
        <v>3251.3</v>
      </c>
      <c r="J9" s="12" t="n">
        <v>1385.8</v>
      </c>
      <c r="K9" s="12" t="n">
        <f aca="false">I9-J9</f>
        <v>1865.5</v>
      </c>
    </row>
    <row r="10" customFormat="false" ht="15" hidden="false" customHeight="false" outlineLevel="0" collapsed="false">
      <c r="A10" s="11" t="n">
        <v>46025</v>
      </c>
      <c r="B10" s="5" t="s">
        <v>80</v>
      </c>
      <c r="C10" s="5" t="s">
        <v>81</v>
      </c>
      <c r="D10" s="5" t="s">
        <v>64</v>
      </c>
      <c r="E10" s="5" t="s">
        <v>58</v>
      </c>
      <c r="F10" s="5" t="s">
        <v>61</v>
      </c>
      <c r="G10" s="5" t="n">
        <v>1030</v>
      </c>
      <c r="H10" s="12" t="n">
        <v>24.5</v>
      </c>
      <c r="I10" s="12" t="n">
        <v>25235</v>
      </c>
      <c r="J10" s="12" t="n">
        <v>12154</v>
      </c>
      <c r="K10" s="12" t="n">
        <f aca="false">I10-J10</f>
        <v>13081</v>
      </c>
    </row>
    <row r="11" customFormat="false" ht="15" hidden="false" customHeight="false" outlineLevel="0" collapsed="false">
      <c r="A11" s="11" t="n">
        <v>46025</v>
      </c>
      <c r="B11" s="5" t="s">
        <v>82</v>
      </c>
      <c r="C11" s="5" t="s">
        <v>63</v>
      </c>
      <c r="D11" s="5" t="s">
        <v>64</v>
      </c>
      <c r="E11" s="5" t="s">
        <v>75</v>
      </c>
      <c r="F11" s="5" t="s">
        <v>83</v>
      </c>
      <c r="G11" s="5" t="n">
        <v>786</v>
      </c>
      <c r="H11" s="12" t="n">
        <v>4.2</v>
      </c>
      <c r="I11" s="12" t="n">
        <v>3301.2</v>
      </c>
      <c r="J11" s="12" t="n">
        <v>1454.1</v>
      </c>
      <c r="K11" s="12" t="n">
        <f aca="false">I11-J11</f>
        <v>1847.1</v>
      </c>
    </row>
    <row r="12" customFormat="false" ht="15" hidden="false" customHeight="false" outlineLevel="0" collapsed="false">
      <c r="A12" s="11" t="n">
        <v>46025</v>
      </c>
      <c r="B12" s="5" t="s">
        <v>84</v>
      </c>
      <c r="C12" s="5" t="s">
        <v>85</v>
      </c>
      <c r="D12" s="5" t="s">
        <v>69</v>
      </c>
      <c r="E12" s="5" t="s">
        <v>75</v>
      </c>
      <c r="F12" s="5" t="s">
        <v>78</v>
      </c>
      <c r="G12" s="5" t="n">
        <v>112</v>
      </c>
      <c r="H12" s="12" t="n">
        <v>6.1</v>
      </c>
      <c r="I12" s="12" t="n">
        <v>683.2</v>
      </c>
      <c r="J12" s="12" t="n">
        <v>291.2</v>
      </c>
      <c r="K12" s="12" t="n">
        <f aca="false">I12-J12</f>
        <v>392</v>
      </c>
    </row>
    <row r="13" customFormat="false" ht="15" hidden="false" customHeight="false" outlineLevel="0" collapsed="false">
      <c r="A13" s="11" t="n">
        <v>46025</v>
      </c>
      <c r="B13" s="5" t="s">
        <v>86</v>
      </c>
      <c r="C13" s="5" t="s">
        <v>87</v>
      </c>
      <c r="D13" s="5" t="s">
        <v>64</v>
      </c>
      <c r="E13" s="5" t="s">
        <v>65</v>
      </c>
      <c r="F13" s="5" t="s">
        <v>88</v>
      </c>
      <c r="G13" s="5" t="n">
        <v>172</v>
      </c>
      <c r="H13" s="12" t="n">
        <v>11.5</v>
      </c>
      <c r="I13" s="12" t="n">
        <v>1978</v>
      </c>
      <c r="J13" s="12" t="n">
        <v>877.2</v>
      </c>
      <c r="K13" s="12" t="n">
        <f aca="false">I13-J13</f>
        <v>1100.8</v>
      </c>
    </row>
    <row r="14" customFormat="false" ht="15" hidden="false" customHeight="false" outlineLevel="0" collapsed="false">
      <c r="A14" s="11" t="n">
        <v>46025</v>
      </c>
      <c r="B14" s="5" t="s">
        <v>89</v>
      </c>
      <c r="C14" s="5" t="s">
        <v>87</v>
      </c>
      <c r="D14" s="5" t="s">
        <v>64</v>
      </c>
      <c r="E14" s="5" t="s">
        <v>70</v>
      </c>
      <c r="F14" s="5" t="s">
        <v>90</v>
      </c>
      <c r="G14" s="5" t="n">
        <v>1512</v>
      </c>
      <c r="H14" s="12" t="n">
        <v>2.7</v>
      </c>
      <c r="I14" s="12" t="n">
        <v>4082.4</v>
      </c>
      <c r="J14" s="12" t="n">
        <v>1814.4</v>
      </c>
      <c r="K14" s="12" t="n">
        <f aca="false">I14-J14</f>
        <v>2268</v>
      </c>
    </row>
    <row r="15" customFormat="false" ht="15" hidden="false" customHeight="false" outlineLevel="0" collapsed="false">
      <c r="A15" s="11" t="n">
        <v>46025</v>
      </c>
      <c r="B15" s="5" t="s">
        <v>91</v>
      </c>
      <c r="C15" s="5" t="s">
        <v>68</v>
      </c>
      <c r="D15" s="5" t="s">
        <v>69</v>
      </c>
      <c r="E15" s="5" t="s">
        <v>70</v>
      </c>
      <c r="F15" s="5" t="s">
        <v>92</v>
      </c>
      <c r="G15" s="5" t="n">
        <v>547</v>
      </c>
      <c r="H15" s="12" t="n">
        <v>2.4</v>
      </c>
      <c r="I15" s="12" t="n">
        <v>1312.8</v>
      </c>
      <c r="J15" s="12" t="n">
        <v>519.65</v>
      </c>
      <c r="K15" s="12" t="n">
        <f aca="false">I15-J15</f>
        <v>793.15</v>
      </c>
    </row>
    <row r="16" customFormat="false" ht="15" hidden="false" customHeight="false" outlineLevel="0" collapsed="false">
      <c r="A16" s="11" t="n">
        <v>46026</v>
      </c>
      <c r="B16" s="5" t="s">
        <v>93</v>
      </c>
      <c r="C16" s="5" t="s">
        <v>94</v>
      </c>
      <c r="D16" s="5" t="s">
        <v>95</v>
      </c>
      <c r="E16" s="5" t="s">
        <v>58</v>
      </c>
      <c r="F16" s="5" t="s">
        <v>96</v>
      </c>
      <c r="G16" s="5" t="n">
        <v>3553</v>
      </c>
      <c r="H16" s="12" t="n">
        <v>2.1</v>
      </c>
      <c r="I16" s="12" t="n">
        <v>7461.3</v>
      </c>
      <c r="J16" s="12" t="n">
        <v>3268.76</v>
      </c>
      <c r="K16" s="12" t="n">
        <f aca="false">I16-J16</f>
        <v>4192.54</v>
      </c>
    </row>
    <row r="17" customFormat="false" ht="15" hidden="false" customHeight="false" outlineLevel="0" collapsed="false">
      <c r="A17" s="11" t="n">
        <v>46026</v>
      </c>
      <c r="B17" s="5" t="s">
        <v>97</v>
      </c>
      <c r="C17" s="5" t="s">
        <v>68</v>
      </c>
      <c r="D17" s="5" t="s">
        <v>69</v>
      </c>
      <c r="E17" s="5" t="s">
        <v>58</v>
      </c>
      <c r="F17" s="5" t="s">
        <v>96</v>
      </c>
      <c r="G17" s="5" t="n">
        <v>1871</v>
      </c>
      <c r="H17" s="12" t="n">
        <v>2.1</v>
      </c>
      <c r="I17" s="12" t="n">
        <v>3929.1</v>
      </c>
      <c r="J17" s="12" t="n">
        <v>1721.32</v>
      </c>
      <c r="K17" s="12" t="n">
        <f aca="false">I17-J17</f>
        <v>2207.78</v>
      </c>
    </row>
    <row r="18" customFormat="false" ht="15" hidden="false" customHeight="false" outlineLevel="0" collapsed="false">
      <c r="A18" s="11" t="n">
        <v>46026</v>
      </c>
      <c r="B18" s="5" t="s">
        <v>98</v>
      </c>
      <c r="C18" s="5" t="s">
        <v>99</v>
      </c>
      <c r="D18" s="5" t="s">
        <v>69</v>
      </c>
      <c r="E18" s="5" t="s">
        <v>75</v>
      </c>
      <c r="F18" s="5" t="s">
        <v>76</v>
      </c>
      <c r="G18" s="5" t="n">
        <v>403</v>
      </c>
      <c r="H18" s="12" t="n">
        <v>4.61</v>
      </c>
      <c r="I18" s="12" t="n">
        <v>1857.83</v>
      </c>
      <c r="J18" s="12" t="n">
        <v>826.15</v>
      </c>
      <c r="K18" s="12" t="n">
        <f aca="false">I18-J18</f>
        <v>1031.68</v>
      </c>
    </row>
    <row r="19" customFormat="false" ht="15" hidden="false" customHeight="false" outlineLevel="0" collapsed="false">
      <c r="A19" s="11" t="n">
        <v>46026</v>
      </c>
      <c r="B19" s="5" t="s">
        <v>100</v>
      </c>
      <c r="C19" s="5" t="s">
        <v>63</v>
      </c>
      <c r="D19" s="5" t="s">
        <v>64</v>
      </c>
      <c r="E19" s="5" t="s">
        <v>75</v>
      </c>
      <c r="F19" s="5" t="s">
        <v>83</v>
      </c>
      <c r="G19" s="5" t="n">
        <v>786</v>
      </c>
      <c r="H19" s="12" t="n">
        <v>4.2</v>
      </c>
      <c r="I19" s="12" t="n">
        <v>3301.2</v>
      </c>
      <c r="J19" s="12" t="n">
        <v>1454.1</v>
      </c>
      <c r="K19" s="12" t="n">
        <f aca="false">I19-J19</f>
        <v>1847.1</v>
      </c>
    </row>
    <row r="20" customFormat="false" ht="15" hidden="false" customHeight="false" outlineLevel="0" collapsed="false">
      <c r="A20" s="11" t="n">
        <v>46026</v>
      </c>
      <c r="B20" s="5" t="s">
        <v>101</v>
      </c>
      <c r="C20" s="5" t="s">
        <v>94</v>
      </c>
      <c r="D20" s="5" t="s">
        <v>95</v>
      </c>
      <c r="E20" s="5" t="s">
        <v>65</v>
      </c>
      <c r="F20" s="5" t="s">
        <v>88</v>
      </c>
      <c r="G20" s="5" t="n">
        <v>236</v>
      </c>
      <c r="H20" s="12" t="n">
        <v>11.5</v>
      </c>
      <c r="I20" s="12" t="n">
        <v>2714</v>
      </c>
      <c r="J20" s="12" t="n">
        <v>1203.6</v>
      </c>
      <c r="K20" s="12" t="n">
        <f aca="false">I20-J20</f>
        <v>1510.4</v>
      </c>
    </row>
    <row r="21" customFormat="false" ht="15" hidden="false" customHeight="false" outlineLevel="0" collapsed="false">
      <c r="A21" s="11" t="n">
        <v>46026</v>
      </c>
      <c r="B21" s="5" t="s">
        <v>102</v>
      </c>
      <c r="C21" s="5" t="s">
        <v>94</v>
      </c>
      <c r="D21" s="5" t="s">
        <v>95</v>
      </c>
      <c r="E21" s="5" t="s">
        <v>65</v>
      </c>
      <c r="F21" s="5" t="s">
        <v>103</v>
      </c>
      <c r="G21" s="5" t="n">
        <v>179</v>
      </c>
      <c r="H21" s="12" t="n">
        <v>15.2</v>
      </c>
      <c r="I21" s="12" t="n">
        <v>2720.8</v>
      </c>
      <c r="J21" s="12" t="n">
        <v>1217.2</v>
      </c>
      <c r="K21" s="12" t="n">
        <f aca="false">I21-J21</f>
        <v>1503.6</v>
      </c>
    </row>
    <row r="22" customFormat="false" ht="15" hidden="false" customHeight="false" outlineLevel="0" collapsed="false">
      <c r="A22" s="11" t="n">
        <v>46026</v>
      </c>
      <c r="B22" s="5" t="s">
        <v>104</v>
      </c>
      <c r="C22" s="5" t="s">
        <v>81</v>
      </c>
      <c r="D22" s="5" t="s">
        <v>64</v>
      </c>
      <c r="E22" s="5" t="s">
        <v>70</v>
      </c>
      <c r="F22" s="5" t="s">
        <v>90</v>
      </c>
      <c r="G22" s="5" t="n">
        <v>2620</v>
      </c>
      <c r="H22" s="12" t="n">
        <v>2.7</v>
      </c>
      <c r="I22" s="12" t="n">
        <v>7074</v>
      </c>
      <c r="J22" s="12" t="n">
        <v>3144</v>
      </c>
      <c r="K22" s="12" t="n">
        <f aca="false">I22-J22</f>
        <v>3930</v>
      </c>
    </row>
    <row r="23" customFormat="false" ht="15" hidden="false" customHeight="false" outlineLevel="0" collapsed="false">
      <c r="A23" s="11" t="n">
        <v>46027</v>
      </c>
      <c r="B23" s="5" t="s">
        <v>105</v>
      </c>
      <c r="C23" s="5" t="s">
        <v>94</v>
      </c>
      <c r="D23" s="5" t="s">
        <v>95</v>
      </c>
      <c r="E23" s="5" t="s">
        <v>58</v>
      </c>
      <c r="F23" s="5" t="s">
        <v>96</v>
      </c>
      <c r="G23" s="5" t="n">
        <v>3553</v>
      </c>
      <c r="H23" s="12" t="n">
        <v>2.1</v>
      </c>
      <c r="I23" s="12" t="n">
        <v>7461.3</v>
      </c>
      <c r="J23" s="12" t="n">
        <v>3268.76</v>
      </c>
      <c r="K23" s="12" t="n">
        <f aca="false">I23-J23</f>
        <v>4192.54</v>
      </c>
    </row>
    <row r="24" customFormat="false" ht="15" hidden="false" customHeight="false" outlineLevel="0" collapsed="false">
      <c r="A24" s="11" t="n">
        <v>46027</v>
      </c>
      <c r="B24" s="5" t="s">
        <v>106</v>
      </c>
      <c r="C24" s="5" t="s">
        <v>87</v>
      </c>
      <c r="D24" s="5" t="s">
        <v>64</v>
      </c>
      <c r="E24" s="5" t="s">
        <v>58</v>
      </c>
      <c r="F24" s="5" t="s">
        <v>61</v>
      </c>
      <c r="G24" s="5" t="n">
        <v>233</v>
      </c>
      <c r="H24" s="12" t="n">
        <v>24.5</v>
      </c>
      <c r="I24" s="12" t="n">
        <v>5708.5</v>
      </c>
      <c r="J24" s="12" t="n">
        <v>2749.4</v>
      </c>
      <c r="K24" s="12" t="n">
        <f aca="false">I24-J24</f>
        <v>2959.1</v>
      </c>
    </row>
    <row r="25" customFormat="false" ht="15" hidden="false" customHeight="false" outlineLevel="0" collapsed="false">
      <c r="A25" s="11" t="n">
        <v>46027</v>
      </c>
      <c r="B25" s="5" t="s">
        <v>107</v>
      </c>
      <c r="C25" s="5" t="s">
        <v>68</v>
      </c>
      <c r="D25" s="5" t="s">
        <v>69</v>
      </c>
      <c r="E25" s="5" t="s">
        <v>58</v>
      </c>
      <c r="F25" s="5" t="s">
        <v>59</v>
      </c>
      <c r="G25" s="5" t="n">
        <v>1007</v>
      </c>
      <c r="H25" s="12" t="n">
        <v>3.9</v>
      </c>
      <c r="I25" s="12" t="n">
        <v>3927.3</v>
      </c>
      <c r="J25" s="12" t="n">
        <v>1711.9</v>
      </c>
      <c r="K25" s="12" t="n">
        <f aca="false">I25-J25</f>
        <v>2215.4</v>
      </c>
    </row>
    <row r="26" customFormat="false" ht="15" hidden="false" customHeight="false" outlineLevel="0" collapsed="false">
      <c r="A26" s="11" t="n">
        <v>46027</v>
      </c>
      <c r="B26" s="5" t="s">
        <v>108</v>
      </c>
      <c r="C26" s="5" t="s">
        <v>94</v>
      </c>
      <c r="D26" s="5" t="s">
        <v>95</v>
      </c>
      <c r="E26" s="5" t="s">
        <v>65</v>
      </c>
      <c r="F26" s="5" t="s">
        <v>88</v>
      </c>
      <c r="G26" s="5" t="n">
        <v>236</v>
      </c>
      <c r="H26" s="12" t="n">
        <v>11.5</v>
      </c>
      <c r="I26" s="12" t="n">
        <v>2714</v>
      </c>
      <c r="J26" s="12" t="n">
        <v>1203.6</v>
      </c>
      <c r="K26" s="12" t="n">
        <f aca="false">I26-J26</f>
        <v>1510.4</v>
      </c>
    </row>
    <row r="27" customFormat="false" ht="15" hidden="false" customHeight="false" outlineLevel="0" collapsed="false">
      <c r="A27" s="11" t="n">
        <v>46027</v>
      </c>
      <c r="B27" s="5" t="s">
        <v>109</v>
      </c>
      <c r="C27" s="5" t="s">
        <v>87</v>
      </c>
      <c r="D27" s="5" t="s">
        <v>64</v>
      </c>
      <c r="E27" s="5" t="s">
        <v>65</v>
      </c>
      <c r="F27" s="5" t="s">
        <v>103</v>
      </c>
      <c r="G27" s="5" t="n">
        <v>130</v>
      </c>
      <c r="H27" s="12" t="n">
        <v>15.2</v>
      </c>
      <c r="I27" s="12" t="n">
        <v>1976</v>
      </c>
      <c r="J27" s="12" t="n">
        <v>884</v>
      </c>
      <c r="K27" s="12" t="n">
        <f aca="false">I27-J27</f>
        <v>1092</v>
      </c>
    </row>
    <row r="28" customFormat="false" ht="15" hidden="false" customHeight="false" outlineLevel="0" collapsed="false">
      <c r="A28" s="11" t="n">
        <v>46027</v>
      </c>
      <c r="B28" s="5" t="s">
        <v>110</v>
      </c>
      <c r="C28" s="5" t="s">
        <v>99</v>
      </c>
      <c r="D28" s="5" t="s">
        <v>69</v>
      </c>
      <c r="E28" s="5" t="s">
        <v>70</v>
      </c>
      <c r="F28" s="5" t="s">
        <v>92</v>
      </c>
      <c r="G28" s="5" t="n">
        <v>3340</v>
      </c>
      <c r="H28" s="12" t="n">
        <v>2.3</v>
      </c>
      <c r="I28" s="12" t="n">
        <v>7682</v>
      </c>
      <c r="J28" s="12" t="n">
        <v>3173</v>
      </c>
      <c r="K28" s="12" t="n">
        <f aca="false">I28-J28</f>
        <v>4509</v>
      </c>
    </row>
    <row r="29" customFormat="false" ht="15" hidden="false" customHeight="false" outlineLevel="0" collapsed="false">
      <c r="A29" s="11" t="n">
        <v>46028</v>
      </c>
      <c r="B29" s="5" t="s">
        <v>111</v>
      </c>
      <c r="C29" s="5" t="s">
        <v>56</v>
      </c>
      <c r="D29" s="5" t="s">
        <v>57</v>
      </c>
      <c r="E29" s="5" t="s">
        <v>58</v>
      </c>
      <c r="F29" s="5" t="s">
        <v>96</v>
      </c>
      <c r="G29" s="5" t="n">
        <v>5588</v>
      </c>
      <c r="H29" s="12" t="n">
        <v>2.1</v>
      </c>
      <c r="I29" s="12" t="n">
        <v>11734.8</v>
      </c>
      <c r="J29" s="12" t="n">
        <v>5140.96</v>
      </c>
      <c r="K29" s="12" t="n">
        <f aca="false">I29-J29</f>
        <v>6593.84</v>
      </c>
    </row>
    <row r="30" customFormat="false" ht="15" hidden="false" customHeight="false" outlineLevel="0" collapsed="false">
      <c r="A30" s="11" t="n">
        <v>46028</v>
      </c>
      <c r="B30" s="5" t="s">
        <v>112</v>
      </c>
      <c r="C30" s="5" t="s">
        <v>94</v>
      </c>
      <c r="D30" s="5" t="s">
        <v>95</v>
      </c>
      <c r="E30" s="5" t="s">
        <v>75</v>
      </c>
      <c r="F30" s="5" t="s">
        <v>78</v>
      </c>
      <c r="G30" s="5" t="n">
        <v>479</v>
      </c>
      <c r="H30" s="12" t="n">
        <v>6.1</v>
      </c>
      <c r="I30" s="12" t="n">
        <v>2921.9</v>
      </c>
      <c r="J30" s="12" t="n">
        <v>1245.4</v>
      </c>
      <c r="K30" s="12" t="n">
        <f aca="false">I30-J30</f>
        <v>1676.5</v>
      </c>
    </row>
    <row r="31" customFormat="false" ht="15" hidden="false" customHeight="false" outlineLevel="0" collapsed="false">
      <c r="A31" s="11" t="n">
        <v>46028</v>
      </c>
      <c r="B31" s="5" t="s">
        <v>113</v>
      </c>
      <c r="C31" s="5" t="s">
        <v>85</v>
      </c>
      <c r="D31" s="5" t="s">
        <v>69</v>
      </c>
      <c r="E31" s="5" t="s">
        <v>75</v>
      </c>
      <c r="F31" s="5" t="s">
        <v>83</v>
      </c>
      <c r="G31" s="5" t="n">
        <v>163</v>
      </c>
      <c r="H31" s="12" t="n">
        <v>4.2</v>
      </c>
      <c r="I31" s="12" t="n">
        <v>684.6</v>
      </c>
      <c r="J31" s="12" t="n">
        <v>301.55</v>
      </c>
      <c r="K31" s="12" t="n">
        <f aca="false">I31-J31</f>
        <v>383.05</v>
      </c>
    </row>
    <row r="32" customFormat="false" ht="15" hidden="false" customHeight="false" outlineLevel="0" collapsed="false">
      <c r="A32" s="11" t="n">
        <v>46028</v>
      </c>
      <c r="B32" s="5" t="s">
        <v>114</v>
      </c>
      <c r="C32" s="5" t="s">
        <v>115</v>
      </c>
      <c r="D32" s="5" t="s">
        <v>69</v>
      </c>
      <c r="E32" s="5" t="s">
        <v>65</v>
      </c>
      <c r="F32" s="5" t="s">
        <v>88</v>
      </c>
      <c r="G32" s="5" t="n">
        <v>188</v>
      </c>
      <c r="H32" s="12" t="n">
        <v>11.5</v>
      </c>
      <c r="I32" s="12" t="n">
        <v>2162</v>
      </c>
      <c r="J32" s="12" t="n">
        <v>958.8</v>
      </c>
      <c r="K32" s="12" t="n">
        <f aca="false">I32-J32</f>
        <v>1203.2</v>
      </c>
    </row>
    <row r="33" customFormat="false" ht="15" hidden="false" customHeight="false" outlineLevel="0" collapsed="false">
      <c r="A33" s="11" t="n">
        <v>46029</v>
      </c>
      <c r="B33" s="5" t="s">
        <v>116</v>
      </c>
      <c r="C33" s="5" t="s">
        <v>115</v>
      </c>
      <c r="D33" s="5" t="s">
        <v>69</v>
      </c>
      <c r="E33" s="5" t="s">
        <v>58</v>
      </c>
      <c r="F33" s="5" t="s">
        <v>117</v>
      </c>
      <c r="G33" s="5" t="n">
        <v>3468</v>
      </c>
      <c r="H33" s="12" t="n">
        <v>3.4</v>
      </c>
      <c r="I33" s="12" t="n">
        <v>11791.2</v>
      </c>
      <c r="J33" s="12" t="n">
        <v>5028.6</v>
      </c>
      <c r="K33" s="12" t="n">
        <f aca="false">I33-J33</f>
        <v>6762.6</v>
      </c>
    </row>
    <row r="34" customFormat="false" ht="15" hidden="false" customHeight="false" outlineLevel="0" collapsed="false">
      <c r="A34" s="11" t="n">
        <v>46029</v>
      </c>
      <c r="B34" s="5" t="s">
        <v>118</v>
      </c>
      <c r="C34" s="5" t="s">
        <v>68</v>
      </c>
      <c r="D34" s="5" t="s">
        <v>69</v>
      </c>
      <c r="E34" s="5" t="s">
        <v>58</v>
      </c>
      <c r="F34" s="5" t="s">
        <v>61</v>
      </c>
      <c r="G34" s="5" t="n">
        <v>160</v>
      </c>
      <c r="H34" s="12" t="n">
        <v>24.5</v>
      </c>
      <c r="I34" s="12" t="n">
        <v>3920</v>
      </c>
      <c r="J34" s="12" t="n">
        <v>1888</v>
      </c>
      <c r="K34" s="12" t="n">
        <f aca="false">I34-J34</f>
        <v>2032</v>
      </c>
    </row>
    <row r="35" customFormat="false" ht="15" hidden="false" customHeight="false" outlineLevel="0" collapsed="false">
      <c r="A35" s="11" t="n">
        <v>46029</v>
      </c>
      <c r="B35" s="5" t="s">
        <v>119</v>
      </c>
      <c r="C35" s="5" t="s">
        <v>99</v>
      </c>
      <c r="D35" s="5" t="s">
        <v>69</v>
      </c>
      <c r="E35" s="5" t="s">
        <v>65</v>
      </c>
      <c r="F35" s="5" t="s">
        <v>88</v>
      </c>
      <c r="G35" s="5" t="n">
        <v>350</v>
      </c>
      <c r="H35" s="12" t="n">
        <v>11.04</v>
      </c>
      <c r="I35" s="12" t="n">
        <v>3864</v>
      </c>
      <c r="J35" s="12" t="n">
        <v>1785</v>
      </c>
      <c r="K35" s="12" t="n">
        <f aca="false">I35-J35</f>
        <v>2079</v>
      </c>
    </row>
    <row r="36" customFormat="false" ht="15" hidden="false" customHeight="false" outlineLevel="0" collapsed="false">
      <c r="A36" s="11" t="n">
        <v>46029</v>
      </c>
      <c r="B36" s="5" t="s">
        <v>120</v>
      </c>
      <c r="C36" s="5" t="s">
        <v>73</v>
      </c>
      <c r="D36" s="5" t="s">
        <v>64</v>
      </c>
      <c r="E36" s="5" t="s">
        <v>70</v>
      </c>
      <c r="F36" s="5" t="s">
        <v>90</v>
      </c>
      <c r="G36" s="5" t="n">
        <v>1644</v>
      </c>
      <c r="H36" s="12" t="n">
        <v>2.59</v>
      </c>
      <c r="I36" s="12" t="n">
        <v>4257.96</v>
      </c>
      <c r="J36" s="12" t="n">
        <v>1972.8</v>
      </c>
      <c r="K36" s="12" t="n">
        <f aca="false">I36-J36</f>
        <v>2285.16</v>
      </c>
    </row>
    <row r="37" customFormat="false" ht="15" hidden="false" customHeight="false" outlineLevel="0" collapsed="false">
      <c r="A37" s="11" t="n">
        <v>46030</v>
      </c>
      <c r="B37" s="5" t="s">
        <v>121</v>
      </c>
      <c r="C37" s="5" t="s">
        <v>99</v>
      </c>
      <c r="D37" s="5" t="s">
        <v>69</v>
      </c>
      <c r="E37" s="5" t="s">
        <v>75</v>
      </c>
      <c r="F37" s="5" t="s">
        <v>76</v>
      </c>
      <c r="G37" s="5" t="n">
        <v>403</v>
      </c>
      <c r="H37" s="12" t="n">
        <v>4.61</v>
      </c>
      <c r="I37" s="12" t="n">
        <v>1857.83</v>
      </c>
      <c r="J37" s="12" t="n">
        <v>826.15</v>
      </c>
      <c r="K37" s="12" t="n">
        <f aca="false">I37-J37</f>
        <v>1031.68</v>
      </c>
    </row>
    <row r="38" customFormat="false" ht="15" hidden="false" customHeight="false" outlineLevel="0" collapsed="false">
      <c r="A38" s="11" t="n">
        <v>46030</v>
      </c>
      <c r="B38" s="5" t="s">
        <v>122</v>
      </c>
      <c r="C38" s="5" t="s">
        <v>87</v>
      </c>
      <c r="D38" s="5" t="s">
        <v>64</v>
      </c>
      <c r="E38" s="5" t="s">
        <v>75</v>
      </c>
      <c r="F38" s="5" t="s">
        <v>83</v>
      </c>
      <c r="G38" s="5" t="n">
        <v>322</v>
      </c>
      <c r="H38" s="12" t="n">
        <v>4.2</v>
      </c>
      <c r="I38" s="12" t="n">
        <v>1352.4</v>
      </c>
      <c r="J38" s="12" t="n">
        <v>595.7</v>
      </c>
      <c r="K38" s="12" t="n">
        <f aca="false">I38-J38</f>
        <v>756.7</v>
      </c>
    </row>
    <row r="39" customFormat="false" ht="15" hidden="false" customHeight="false" outlineLevel="0" collapsed="false">
      <c r="A39" s="11" t="n">
        <v>46030</v>
      </c>
      <c r="B39" s="5" t="s">
        <v>123</v>
      </c>
      <c r="C39" s="5" t="s">
        <v>73</v>
      </c>
      <c r="D39" s="5" t="s">
        <v>64</v>
      </c>
      <c r="E39" s="5" t="s">
        <v>65</v>
      </c>
      <c r="F39" s="5" t="s">
        <v>66</v>
      </c>
      <c r="G39" s="5" t="n">
        <v>89</v>
      </c>
      <c r="H39" s="12" t="n">
        <v>23.9</v>
      </c>
      <c r="I39" s="12" t="n">
        <v>2127.1</v>
      </c>
      <c r="J39" s="12" t="n">
        <v>1014.6</v>
      </c>
      <c r="K39" s="12" t="n">
        <f aca="false">I39-J39</f>
        <v>1112.5</v>
      </c>
    </row>
    <row r="40" customFormat="false" ht="15" hidden="false" customHeight="false" outlineLevel="0" collapsed="false">
      <c r="A40" s="11" t="n">
        <v>46030</v>
      </c>
      <c r="B40" s="5" t="s">
        <v>124</v>
      </c>
      <c r="C40" s="5" t="s">
        <v>56</v>
      </c>
      <c r="D40" s="5" t="s">
        <v>57</v>
      </c>
      <c r="E40" s="5" t="s">
        <v>65</v>
      </c>
      <c r="F40" s="5" t="s">
        <v>66</v>
      </c>
      <c r="G40" s="5" t="n">
        <v>223</v>
      </c>
      <c r="H40" s="12" t="n">
        <v>24.9</v>
      </c>
      <c r="I40" s="12" t="n">
        <v>5552.7</v>
      </c>
      <c r="J40" s="12" t="n">
        <v>2542.2</v>
      </c>
      <c r="K40" s="12" t="n">
        <f aca="false">I40-J40</f>
        <v>3010.5</v>
      </c>
    </row>
    <row r="41" customFormat="false" ht="15" hidden="false" customHeight="false" outlineLevel="0" collapsed="false">
      <c r="A41" s="11" t="n">
        <v>46031</v>
      </c>
      <c r="B41" s="5" t="s">
        <v>125</v>
      </c>
      <c r="C41" s="5" t="s">
        <v>73</v>
      </c>
      <c r="D41" s="5" t="s">
        <v>64</v>
      </c>
      <c r="E41" s="5" t="s">
        <v>65</v>
      </c>
      <c r="F41" s="5" t="s">
        <v>88</v>
      </c>
      <c r="G41" s="5" t="n">
        <v>193</v>
      </c>
      <c r="H41" s="12" t="n">
        <v>11.04</v>
      </c>
      <c r="I41" s="12" t="n">
        <v>2130.72</v>
      </c>
      <c r="J41" s="12" t="n">
        <v>984.3</v>
      </c>
      <c r="K41" s="12" t="n">
        <f aca="false">I41-J41</f>
        <v>1146.42</v>
      </c>
    </row>
    <row r="42" customFormat="false" ht="15" hidden="false" customHeight="false" outlineLevel="0" collapsed="false">
      <c r="A42" s="11" t="n">
        <v>46032</v>
      </c>
      <c r="B42" s="5" t="s">
        <v>126</v>
      </c>
      <c r="C42" s="5" t="s">
        <v>81</v>
      </c>
      <c r="D42" s="5" t="s">
        <v>64</v>
      </c>
      <c r="E42" s="5" t="s">
        <v>65</v>
      </c>
      <c r="F42" s="5" t="s">
        <v>103</v>
      </c>
      <c r="G42" s="5" t="n">
        <v>390</v>
      </c>
      <c r="H42" s="12" t="n">
        <v>15.2</v>
      </c>
      <c r="I42" s="12" t="n">
        <v>5928</v>
      </c>
      <c r="J42" s="12" t="n">
        <v>2652</v>
      </c>
      <c r="K42" s="12" t="n">
        <f aca="false">I42-J42</f>
        <v>3276</v>
      </c>
    </row>
    <row r="43" customFormat="false" ht="15" hidden="false" customHeight="false" outlineLevel="0" collapsed="false">
      <c r="A43" s="11" t="n">
        <v>46033</v>
      </c>
      <c r="B43" s="5" t="s">
        <v>127</v>
      </c>
      <c r="C43" s="5" t="s">
        <v>85</v>
      </c>
      <c r="D43" s="5" t="s">
        <v>69</v>
      </c>
      <c r="E43" s="5" t="s">
        <v>58</v>
      </c>
      <c r="F43" s="5" t="s">
        <v>61</v>
      </c>
      <c r="G43" s="5" t="n">
        <v>184</v>
      </c>
      <c r="H43" s="12" t="n">
        <v>24.5</v>
      </c>
      <c r="I43" s="12" t="n">
        <v>4508</v>
      </c>
      <c r="J43" s="12" t="n">
        <v>2171.2</v>
      </c>
      <c r="K43" s="12" t="n">
        <f aca="false">I43-J43</f>
        <v>2336.8</v>
      </c>
    </row>
    <row r="44" customFormat="false" ht="15" hidden="false" customHeight="false" outlineLevel="0" collapsed="false">
      <c r="A44" s="11" t="n">
        <v>46033</v>
      </c>
      <c r="B44" s="5" t="s">
        <v>128</v>
      </c>
      <c r="C44" s="5" t="s">
        <v>73</v>
      </c>
      <c r="D44" s="5" t="s">
        <v>64</v>
      </c>
      <c r="E44" s="5" t="s">
        <v>65</v>
      </c>
      <c r="F44" s="5" t="s">
        <v>66</v>
      </c>
      <c r="G44" s="5" t="n">
        <v>89</v>
      </c>
      <c r="H44" s="12" t="n">
        <v>23.9</v>
      </c>
      <c r="I44" s="12" t="n">
        <v>2127.1</v>
      </c>
      <c r="J44" s="12" t="n">
        <v>1014.6</v>
      </c>
      <c r="K44" s="12" t="n">
        <f aca="false">I44-J44</f>
        <v>1112.5</v>
      </c>
    </row>
    <row r="45" customFormat="false" ht="15" hidden="false" customHeight="false" outlineLevel="0" collapsed="false">
      <c r="A45" s="11" t="n">
        <v>46033</v>
      </c>
      <c r="B45" s="5" t="s">
        <v>129</v>
      </c>
      <c r="C45" s="5" t="s">
        <v>63</v>
      </c>
      <c r="D45" s="5" t="s">
        <v>64</v>
      </c>
      <c r="E45" s="5" t="s">
        <v>70</v>
      </c>
      <c r="F45" s="5" t="s">
        <v>90</v>
      </c>
      <c r="G45" s="5" t="n">
        <v>3246</v>
      </c>
      <c r="H45" s="12" t="n">
        <v>2.7</v>
      </c>
      <c r="I45" s="12" t="n">
        <v>8764.2</v>
      </c>
      <c r="J45" s="12" t="n">
        <v>3895.2</v>
      </c>
      <c r="K45" s="12" t="n">
        <f aca="false">I45-J45</f>
        <v>4869</v>
      </c>
    </row>
    <row r="46" customFormat="false" ht="15" hidden="false" customHeight="false" outlineLevel="0" collapsed="false">
      <c r="A46" s="11" t="n">
        <v>46033</v>
      </c>
      <c r="B46" s="5" t="s">
        <v>130</v>
      </c>
      <c r="C46" s="5" t="s">
        <v>94</v>
      </c>
      <c r="D46" s="5" t="s">
        <v>95</v>
      </c>
      <c r="E46" s="5" t="s">
        <v>70</v>
      </c>
      <c r="F46" s="5" t="s">
        <v>71</v>
      </c>
      <c r="G46" s="5" t="n">
        <v>903</v>
      </c>
      <c r="H46" s="12" t="n">
        <v>2.95</v>
      </c>
      <c r="I46" s="12" t="n">
        <v>2663.85</v>
      </c>
      <c r="J46" s="12" t="n">
        <v>1173.9</v>
      </c>
      <c r="K46" s="12" t="n">
        <f aca="false">I46-J46</f>
        <v>1489.95</v>
      </c>
    </row>
    <row r="47" customFormat="false" ht="15" hidden="false" customHeight="false" outlineLevel="0" collapsed="false">
      <c r="A47" s="11" t="n">
        <v>46033</v>
      </c>
      <c r="B47" s="5" t="s">
        <v>131</v>
      </c>
      <c r="C47" s="5" t="s">
        <v>56</v>
      </c>
      <c r="D47" s="5" t="s">
        <v>57</v>
      </c>
      <c r="E47" s="5" t="s">
        <v>70</v>
      </c>
      <c r="F47" s="5" t="s">
        <v>92</v>
      </c>
      <c r="G47" s="5" t="n">
        <v>1437</v>
      </c>
      <c r="H47" s="12" t="n">
        <v>2.4</v>
      </c>
      <c r="I47" s="12" t="n">
        <v>3448.8</v>
      </c>
      <c r="J47" s="12" t="n">
        <v>1365.15</v>
      </c>
      <c r="K47" s="12" t="n">
        <f aca="false">I47-J47</f>
        <v>2083.65</v>
      </c>
    </row>
    <row r="48" customFormat="false" ht="15" hidden="false" customHeight="false" outlineLevel="0" collapsed="false">
      <c r="A48" s="11" t="n">
        <v>46034</v>
      </c>
      <c r="B48" s="5" t="s">
        <v>132</v>
      </c>
      <c r="C48" s="5" t="s">
        <v>81</v>
      </c>
      <c r="D48" s="5" t="s">
        <v>64</v>
      </c>
      <c r="E48" s="5" t="s">
        <v>58</v>
      </c>
      <c r="F48" s="5" t="s">
        <v>96</v>
      </c>
      <c r="G48" s="5" t="n">
        <v>12028</v>
      </c>
      <c r="H48" s="12" t="n">
        <v>2.1</v>
      </c>
      <c r="I48" s="12" t="n">
        <v>25258.8</v>
      </c>
      <c r="J48" s="12" t="n">
        <v>11065.76</v>
      </c>
      <c r="K48" s="12" t="n">
        <f aca="false">I48-J48</f>
        <v>14193.04</v>
      </c>
    </row>
    <row r="49" customFormat="false" ht="15" hidden="false" customHeight="false" outlineLevel="0" collapsed="false">
      <c r="A49" s="11" t="n">
        <v>46034</v>
      </c>
      <c r="B49" s="5" t="s">
        <v>133</v>
      </c>
      <c r="C49" s="5" t="s">
        <v>85</v>
      </c>
      <c r="D49" s="5" t="s">
        <v>69</v>
      </c>
      <c r="E49" s="5" t="s">
        <v>58</v>
      </c>
      <c r="F49" s="5" t="s">
        <v>59</v>
      </c>
      <c r="G49" s="5" t="n">
        <v>1160</v>
      </c>
      <c r="H49" s="12" t="n">
        <v>3.9</v>
      </c>
      <c r="I49" s="12" t="n">
        <v>4524</v>
      </c>
      <c r="J49" s="12" t="n">
        <v>1972</v>
      </c>
      <c r="K49" s="12" t="n">
        <f aca="false">I49-J49</f>
        <v>2552</v>
      </c>
    </row>
    <row r="50" customFormat="false" ht="15" hidden="false" customHeight="false" outlineLevel="0" collapsed="false">
      <c r="A50" s="11" t="n">
        <v>46034</v>
      </c>
      <c r="B50" s="5" t="s">
        <v>134</v>
      </c>
      <c r="C50" s="5" t="s">
        <v>81</v>
      </c>
      <c r="D50" s="5" t="s">
        <v>64</v>
      </c>
      <c r="E50" s="5" t="s">
        <v>75</v>
      </c>
      <c r="F50" s="5" t="s">
        <v>76</v>
      </c>
      <c r="G50" s="5" t="n">
        <v>866</v>
      </c>
      <c r="H50" s="12" t="n">
        <v>4.8</v>
      </c>
      <c r="I50" s="12" t="n">
        <v>4156.8</v>
      </c>
      <c r="J50" s="12" t="n">
        <v>1775.3</v>
      </c>
      <c r="K50" s="12" t="n">
        <f aca="false">I50-J50</f>
        <v>2381.5</v>
      </c>
    </row>
    <row r="51" customFormat="false" ht="15" hidden="false" customHeight="false" outlineLevel="0" collapsed="false">
      <c r="A51" s="11" t="n">
        <v>46034</v>
      </c>
      <c r="B51" s="5" t="s">
        <v>135</v>
      </c>
      <c r="C51" s="5" t="s">
        <v>81</v>
      </c>
      <c r="D51" s="5" t="s">
        <v>64</v>
      </c>
      <c r="E51" s="5" t="s">
        <v>75</v>
      </c>
      <c r="F51" s="5" t="s">
        <v>78</v>
      </c>
      <c r="G51" s="5" t="n">
        <v>681</v>
      </c>
      <c r="H51" s="12" t="n">
        <v>6.1</v>
      </c>
      <c r="I51" s="12" t="n">
        <v>4154.1</v>
      </c>
      <c r="J51" s="12" t="n">
        <v>1770.6</v>
      </c>
      <c r="K51" s="12" t="n">
        <f aca="false">I51-J51</f>
        <v>2383.5</v>
      </c>
    </row>
    <row r="52" customFormat="false" ht="15" hidden="false" customHeight="false" outlineLevel="0" collapsed="false">
      <c r="A52" s="11" t="n">
        <v>46034</v>
      </c>
      <c r="B52" s="5" t="s">
        <v>136</v>
      </c>
      <c r="C52" s="5" t="s">
        <v>99</v>
      </c>
      <c r="D52" s="5" t="s">
        <v>69</v>
      </c>
      <c r="E52" s="5" t="s">
        <v>65</v>
      </c>
      <c r="F52" s="5" t="s">
        <v>88</v>
      </c>
      <c r="G52" s="5" t="n">
        <v>350</v>
      </c>
      <c r="H52" s="12" t="n">
        <v>11.04</v>
      </c>
      <c r="I52" s="12" t="n">
        <v>3864</v>
      </c>
      <c r="J52" s="12" t="n">
        <v>1785</v>
      </c>
      <c r="K52" s="12" t="n">
        <f aca="false">I52-J52</f>
        <v>2079</v>
      </c>
    </row>
    <row r="53" customFormat="false" ht="15" hidden="false" customHeight="false" outlineLevel="0" collapsed="false">
      <c r="A53" s="11" t="n">
        <v>46034</v>
      </c>
      <c r="B53" s="5" t="s">
        <v>137</v>
      </c>
      <c r="C53" s="5" t="s">
        <v>94</v>
      </c>
      <c r="D53" s="5" t="s">
        <v>95</v>
      </c>
      <c r="E53" s="5" t="s">
        <v>70</v>
      </c>
      <c r="F53" s="5" t="s">
        <v>71</v>
      </c>
      <c r="G53" s="5" t="n">
        <v>903</v>
      </c>
      <c r="H53" s="12" t="n">
        <v>2.95</v>
      </c>
      <c r="I53" s="12" t="n">
        <v>2663.85</v>
      </c>
      <c r="J53" s="12" t="n">
        <v>1173.9</v>
      </c>
      <c r="K53" s="12" t="n">
        <f aca="false">I53-J53</f>
        <v>1489.95</v>
      </c>
    </row>
    <row r="54" customFormat="false" ht="15" hidden="false" customHeight="false" outlineLevel="0" collapsed="false">
      <c r="A54" s="11" t="n">
        <v>46035</v>
      </c>
      <c r="B54" s="5" t="s">
        <v>138</v>
      </c>
      <c r="C54" s="5" t="s">
        <v>87</v>
      </c>
      <c r="D54" s="5" t="s">
        <v>64</v>
      </c>
      <c r="E54" s="5" t="s">
        <v>58</v>
      </c>
      <c r="F54" s="5" t="s">
        <v>59</v>
      </c>
      <c r="G54" s="5" t="n">
        <v>1465</v>
      </c>
      <c r="H54" s="12" t="n">
        <v>3.9</v>
      </c>
      <c r="I54" s="12" t="n">
        <v>5713.5</v>
      </c>
      <c r="J54" s="12" t="n">
        <v>2490.5</v>
      </c>
      <c r="K54" s="12" t="n">
        <f aca="false">I54-J54</f>
        <v>3223</v>
      </c>
    </row>
    <row r="55" customFormat="false" ht="15" hidden="false" customHeight="false" outlineLevel="0" collapsed="false">
      <c r="A55" s="11" t="n">
        <v>46035</v>
      </c>
      <c r="B55" s="5" t="s">
        <v>139</v>
      </c>
      <c r="C55" s="5" t="s">
        <v>85</v>
      </c>
      <c r="D55" s="5" t="s">
        <v>69</v>
      </c>
      <c r="E55" s="5" t="s">
        <v>65</v>
      </c>
      <c r="F55" s="5" t="s">
        <v>88</v>
      </c>
      <c r="G55" s="5" t="n">
        <v>94</v>
      </c>
      <c r="H55" s="12" t="n">
        <v>11.5</v>
      </c>
      <c r="I55" s="12" t="n">
        <v>1081</v>
      </c>
      <c r="J55" s="12" t="n">
        <v>479.4</v>
      </c>
      <c r="K55" s="12" t="n">
        <f aca="false">I55-J55</f>
        <v>601.6</v>
      </c>
    </row>
    <row r="56" customFormat="false" ht="15" hidden="false" customHeight="false" outlineLevel="0" collapsed="false">
      <c r="A56" s="11" t="n">
        <v>46035</v>
      </c>
      <c r="B56" s="5" t="s">
        <v>140</v>
      </c>
      <c r="C56" s="5" t="s">
        <v>85</v>
      </c>
      <c r="D56" s="5" t="s">
        <v>69</v>
      </c>
      <c r="E56" s="5" t="s">
        <v>65</v>
      </c>
      <c r="F56" s="5" t="s">
        <v>88</v>
      </c>
      <c r="G56" s="5" t="n">
        <v>94</v>
      </c>
      <c r="H56" s="12" t="n">
        <v>11.5</v>
      </c>
      <c r="I56" s="12" t="n">
        <v>1081</v>
      </c>
      <c r="J56" s="12" t="n">
        <v>479.4</v>
      </c>
      <c r="K56" s="12" t="n">
        <f aca="false">I56-J56</f>
        <v>601.6</v>
      </c>
    </row>
    <row r="57" customFormat="false" ht="15" hidden="false" customHeight="false" outlineLevel="0" collapsed="false">
      <c r="A57" s="11" t="n">
        <v>46035</v>
      </c>
      <c r="B57" s="5" t="s">
        <v>141</v>
      </c>
      <c r="C57" s="5" t="s">
        <v>68</v>
      </c>
      <c r="D57" s="5" t="s">
        <v>69</v>
      </c>
      <c r="E57" s="5" t="s">
        <v>70</v>
      </c>
      <c r="F57" s="5" t="s">
        <v>90</v>
      </c>
      <c r="G57" s="5" t="n">
        <v>486</v>
      </c>
      <c r="H57" s="12" t="n">
        <v>2.7</v>
      </c>
      <c r="I57" s="12" t="n">
        <v>1312.2</v>
      </c>
      <c r="J57" s="12" t="n">
        <v>583.2</v>
      </c>
      <c r="K57" s="12" t="n">
        <f aca="false">I57-J57</f>
        <v>729</v>
      </c>
    </row>
    <row r="58" customFormat="false" ht="15" hidden="false" customHeight="false" outlineLevel="0" collapsed="false">
      <c r="A58" s="11" t="n">
        <v>46035</v>
      </c>
      <c r="B58" s="5" t="s">
        <v>142</v>
      </c>
      <c r="C58" s="5" t="s">
        <v>56</v>
      </c>
      <c r="D58" s="5" t="s">
        <v>57</v>
      </c>
      <c r="E58" s="5" t="s">
        <v>70</v>
      </c>
      <c r="F58" s="5" t="s">
        <v>71</v>
      </c>
      <c r="G58" s="5" t="n">
        <v>1169</v>
      </c>
      <c r="H58" s="12" t="n">
        <v>2.95</v>
      </c>
      <c r="I58" s="12" t="n">
        <v>3448.55</v>
      </c>
      <c r="J58" s="12" t="n">
        <v>1519.7</v>
      </c>
      <c r="K58" s="12" t="n">
        <f aca="false">I58-J58</f>
        <v>1928.85</v>
      </c>
    </row>
    <row r="59" customFormat="false" ht="15" hidden="false" customHeight="false" outlineLevel="0" collapsed="false">
      <c r="A59" s="11" t="n">
        <v>46036</v>
      </c>
      <c r="B59" s="5" t="s">
        <v>143</v>
      </c>
      <c r="C59" s="5" t="s">
        <v>63</v>
      </c>
      <c r="D59" s="5" t="s">
        <v>64</v>
      </c>
      <c r="E59" s="5" t="s">
        <v>58</v>
      </c>
      <c r="F59" s="5" t="s">
        <v>96</v>
      </c>
      <c r="G59" s="5" t="n">
        <v>9606</v>
      </c>
      <c r="H59" s="12" t="n">
        <v>2.1</v>
      </c>
      <c r="I59" s="12" t="n">
        <v>20172.6</v>
      </c>
      <c r="J59" s="12" t="n">
        <v>8837.52</v>
      </c>
      <c r="K59" s="12" t="n">
        <f aca="false">I59-J59</f>
        <v>11335.08</v>
      </c>
    </row>
    <row r="60" customFormat="false" ht="15" hidden="false" customHeight="false" outlineLevel="0" collapsed="false">
      <c r="A60" s="11" t="n">
        <v>46036</v>
      </c>
      <c r="B60" s="5" t="s">
        <v>144</v>
      </c>
      <c r="C60" s="5" t="s">
        <v>73</v>
      </c>
      <c r="D60" s="5" t="s">
        <v>64</v>
      </c>
      <c r="E60" s="5" t="s">
        <v>65</v>
      </c>
      <c r="F60" s="5" t="s">
        <v>66</v>
      </c>
      <c r="G60" s="5" t="n">
        <v>89</v>
      </c>
      <c r="H60" s="12" t="n">
        <v>23.9</v>
      </c>
      <c r="I60" s="12" t="n">
        <v>2127.1</v>
      </c>
      <c r="J60" s="12" t="n">
        <v>1014.6</v>
      </c>
      <c r="K60" s="12" t="n">
        <f aca="false">I60-J60</f>
        <v>1112.5</v>
      </c>
    </row>
    <row r="61" customFormat="false" ht="15" hidden="false" customHeight="false" outlineLevel="0" collapsed="false">
      <c r="A61" s="11" t="n">
        <v>46036</v>
      </c>
      <c r="B61" s="5" t="s">
        <v>145</v>
      </c>
      <c r="C61" s="5" t="s">
        <v>94</v>
      </c>
      <c r="D61" s="5" t="s">
        <v>95</v>
      </c>
      <c r="E61" s="5" t="s">
        <v>70</v>
      </c>
      <c r="F61" s="5" t="s">
        <v>90</v>
      </c>
      <c r="G61" s="5" t="n">
        <v>987</v>
      </c>
      <c r="H61" s="12" t="n">
        <v>2.7</v>
      </c>
      <c r="I61" s="12" t="n">
        <v>2664.9</v>
      </c>
      <c r="J61" s="12" t="n">
        <v>1184.4</v>
      </c>
      <c r="K61" s="12" t="n">
        <f aca="false">I61-J61</f>
        <v>1480.5</v>
      </c>
    </row>
    <row r="62" customFormat="false" ht="15" hidden="false" customHeight="false" outlineLevel="0" collapsed="false">
      <c r="A62" s="11" t="n">
        <v>46037</v>
      </c>
      <c r="B62" s="5" t="s">
        <v>146</v>
      </c>
      <c r="C62" s="5" t="s">
        <v>94</v>
      </c>
      <c r="D62" s="5" t="s">
        <v>95</v>
      </c>
      <c r="E62" s="5" t="s">
        <v>58</v>
      </c>
      <c r="F62" s="5" t="s">
        <v>96</v>
      </c>
      <c r="G62" s="5" t="n">
        <v>3553</v>
      </c>
      <c r="H62" s="12" t="n">
        <v>2.1</v>
      </c>
      <c r="I62" s="12" t="n">
        <v>7461.3</v>
      </c>
      <c r="J62" s="12" t="n">
        <v>3268.76</v>
      </c>
      <c r="K62" s="12" t="n">
        <f aca="false">I62-J62</f>
        <v>4192.54</v>
      </c>
    </row>
    <row r="63" customFormat="false" ht="15" hidden="false" customHeight="false" outlineLevel="0" collapsed="false">
      <c r="A63" s="11" t="n">
        <v>46038</v>
      </c>
      <c r="B63" s="5" t="s">
        <v>147</v>
      </c>
      <c r="C63" s="5" t="s">
        <v>99</v>
      </c>
      <c r="D63" s="5" t="s">
        <v>69</v>
      </c>
      <c r="E63" s="5" t="s">
        <v>58</v>
      </c>
      <c r="F63" s="5" t="s">
        <v>59</v>
      </c>
      <c r="G63" s="5" t="n">
        <v>2748</v>
      </c>
      <c r="H63" s="12" t="n">
        <v>3.74</v>
      </c>
      <c r="I63" s="12" t="n">
        <v>10277.52</v>
      </c>
      <c r="J63" s="12" t="n">
        <v>4671.6</v>
      </c>
      <c r="K63" s="12" t="n">
        <f aca="false">I63-J63</f>
        <v>5605.92</v>
      </c>
    </row>
    <row r="64" customFormat="false" ht="15" hidden="false" customHeight="false" outlineLevel="0" collapsed="false">
      <c r="A64" s="11" t="n">
        <v>46038</v>
      </c>
      <c r="B64" s="5" t="s">
        <v>148</v>
      </c>
      <c r="C64" s="5" t="s">
        <v>87</v>
      </c>
      <c r="D64" s="5" t="s">
        <v>64</v>
      </c>
      <c r="E64" s="5" t="s">
        <v>58</v>
      </c>
      <c r="F64" s="5" t="s">
        <v>96</v>
      </c>
      <c r="G64" s="5" t="n">
        <v>2722</v>
      </c>
      <c r="H64" s="12" t="n">
        <v>2.1</v>
      </c>
      <c r="I64" s="12" t="n">
        <v>5716.2</v>
      </c>
      <c r="J64" s="12" t="n">
        <v>2504.24</v>
      </c>
      <c r="K64" s="12" t="n">
        <f aca="false">I64-J64</f>
        <v>3211.96</v>
      </c>
    </row>
    <row r="65" customFormat="false" ht="15" hidden="false" customHeight="false" outlineLevel="0" collapsed="false">
      <c r="A65" s="11" t="n">
        <v>46038</v>
      </c>
      <c r="B65" s="5" t="s">
        <v>149</v>
      </c>
      <c r="C65" s="5" t="s">
        <v>99</v>
      </c>
      <c r="D65" s="5" t="s">
        <v>69</v>
      </c>
      <c r="E65" s="5" t="s">
        <v>65</v>
      </c>
      <c r="F65" s="5" t="s">
        <v>66</v>
      </c>
      <c r="G65" s="5" t="n">
        <v>161</v>
      </c>
      <c r="H65" s="12" t="n">
        <v>23.9</v>
      </c>
      <c r="I65" s="12" t="n">
        <v>3847.9</v>
      </c>
      <c r="J65" s="12" t="n">
        <v>1835.4</v>
      </c>
      <c r="K65" s="12" t="n">
        <f aca="false">I65-J65</f>
        <v>2012.5</v>
      </c>
    </row>
    <row r="66" customFormat="false" ht="15" hidden="false" customHeight="false" outlineLevel="0" collapsed="false">
      <c r="A66" s="11" t="n">
        <v>46038</v>
      </c>
      <c r="B66" s="5" t="s">
        <v>150</v>
      </c>
      <c r="C66" s="5" t="s">
        <v>115</v>
      </c>
      <c r="D66" s="5" t="s">
        <v>69</v>
      </c>
      <c r="E66" s="5" t="s">
        <v>65</v>
      </c>
      <c r="F66" s="5" t="s">
        <v>103</v>
      </c>
      <c r="G66" s="5" t="n">
        <v>142</v>
      </c>
      <c r="H66" s="12" t="n">
        <v>15.2</v>
      </c>
      <c r="I66" s="12" t="n">
        <v>2158.4</v>
      </c>
      <c r="J66" s="12" t="n">
        <v>965.6</v>
      </c>
      <c r="K66" s="12" t="n">
        <f aca="false">I66-J66</f>
        <v>1192.8</v>
      </c>
    </row>
    <row r="67" customFormat="false" ht="15" hidden="false" customHeight="false" outlineLevel="0" collapsed="false">
      <c r="A67" s="11" t="n">
        <v>46038</v>
      </c>
      <c r="B67" s="5" t="s">
        <v>151</v>
      </c>
      <c r="C67" s="5" t="s">
        <v>81</v>
      </c>
      <c r="D67" s="5" t="s">
        <v>64</v>
      </c>
      <c r="E67" s="5" t="s">
        <v>70</v>
      </c>
      <c r="F67" s="5" t="s">
        <v>90</v>
      </c>
      <c r="G67" s="5" t="n">
        <v>2620</v>
      </c>
      <c r="H67" s="12" t="n">
        <v>2.7</v>
      </c>
      <c r="I67" s="12" t="n">
        <v>7074</v>
      </c>
      <c r="J67" s="12" t="n">
        <v>3144</v>
      </c>
      <c r="K67" s="12" t="n">
        <f aca="false">I67-J67</f>
        <v>3930</v>
      </c>
    </row>
    <row r="68" customFormat="false" ht="15" hidden="false" customHeight="false" outlineLevel="0" collapsed="false">
      <c r="A68" s="11" t="n">
        <v>46039</v>
      </c>
      <c r="B68" s="5" t="s">
        <v>152</v>
      </c>
      <c r="C68" s="5" t="s">
        <v>99</v>
      </c>
      <c r="D68" s="5" t="s">
        <v>69</v>
      </c>
      <c r="E68" s="5" t="s">
        <v>58</v>
      </c>
      <c r="F68" s="5" t="s">
        <v>117</v>
      </c>
      <c r="G68" s="5" t="n">
        <v>3152</v>
      </c>
      <c r="H68" s="12" t="n">
        <v>3.26</v>
      </c>
      <c r="I68" s="12" t="n">
        <v>10275.52</v>
      </c>
      <c r="J68" s="12" t="n">
        <v>4570.4</v>
      </c>
      <c r="K68" s="12" t="n">
        <f aca="false">I68-J68</f>
        <v>5705.12</v>
      </c>
    </row>
    <row r="69" customFormat="false" ht="15" hidden="false" customHeight="false" outlineLevel="0" collapsed="false">
      <c r="A69" s="11" t="n">
        <v>46039</v>
      </c>
      <c r="B69" s="5" t="s">
        <v>153</v>
      </c>
      <c r="C69" s="5" t="s">
        <v>85</v>
      </c>
      <c r="D69" s="5" t="s">
        <v>69</v>
      </c>
      <c r="E69" s="5" t="s">
        <v>58</v>
      </c>
      <c r="F69" s="5" t="s">
        <v>61</v>
      </c>
      <c r="G69" s="5" t="n">
        <v>184</v>
      </c>
      <c r="H69" s="12" t="n">
        <v>24.5</v>
      </c>
      <c r="I69" s="12" t="n">
        <v>4508</v>
      </c>
      <c r="J69" s="12" t="n">
        <v>2171.2</v>
      </c>
      <c r="K69" s="12" t="n">
        <f aca="false">I69-J69</f>
        <v>2336.8</v>
      </c>
    </row>
    <row r="70" customFormat="false" ht="15" hidden="false" customHeight="false" outlineLevel="0" collapsed="false">
      <c r="A70" s="11" t="n">
        <v>46039</v>
      </c>
      <c r="B70" s="5" t="s">
        <v>154</v>
      </c>
      <c r="C70" s="5" t="s">
        <v>73</v>
      </c>
      <c r="D70" s="5" t="s">
        <v>64</v>
      </c>
      <c r="E70" s="5" t="s">
        <v>75</v>
      </c>
      <c r="F70" s="5" t="s">
        <v>76</v>
      </c>
      <c r="G70" s="5" t="n">
        <v>591</v>
      </c>
      <c r="H70" s="12" t="n">
        <v>4.61</v>
      </c>
      <c r="I70" s="12" t="n">
        <v>2724.51</v>
      </c>
      <c r="J70" s="12" t="n">
        <v>1211.55</v>
      </c>
      <c r="K70" s="12" t="n">
        <f aca="false">I70-J70</f>
        <v>1512.96</v>
      </c>
    </row>
    <row r="71" customFormat="false" ht="15" hidden="false" customHeight="false" outlineLevel="0" collapsed="false">
      <c r="A71" s="11" t="n">
        <v>46039</v>
      </c>
      <c r="B71" s="5" t="s">
        <v>155</v>
      </c>
      <c r="C71" s="5" t="s">
        <v>87</v>
      </c>
      <c r="D71" s="5" t="s">
        <v>64</v>
      </c>
      <c r="E71" s="5" t="s">
        <v>75</v>
      </c>
      <c r="F71" s="5" t="s">
        <v>78</v>
      </c>
      <c r="G71" s="5" t="n">
        <v>222</v>
      </c>
      <c r="H71" s="12" t="n">
        <v>6.1</v>
      </c>
      <c r="I71" s="12" t="n">
        <v>1354.2</v>
      </c>
      <c r="J71" s="12" t="n">
        <v>577.2</v>
      </c>
      <c r="K71" s="12" t="n">
        <f aca="false">I71-J71</f>
        <v>777</v>
      </c>
    </row>
    <row r="72" customFormat="false" ht="15" hidden="false" customHeight="false" outlineLevel="0" collapsed="false">
      <c r="A72" s="11" t="n">
        <v>46039</v>
      </c>
      <c r="B72" s="5" t="s">
        <v>156</v>
      </c>
      <c r="C72" s="5" t="s">
        <v>73</v>
      </c>
      <c r="D72" s="5" t="s">
        <v>64</v>
      </c>
      <c r="E72" s="5" t="s">
        <v>70</v>
      </c>
      <c r="F72" s="5" t="s">
        <v>90</v>
      </c>
      <c r="G72" s="5" t="n">
        <v>1644</v>
      </c>
      <c r="H72" s="12" t="n">
        <v>2.59</v>
      </c>
      <c r="I72" s="12" t="n">
        <v>4257.96</v>
      </c>
      <c r="J72" s="12" t="n">
        <v>1972.8</v>
      </c>
      <c r="K72" s="12" t="n">
        <f aca="false">I72-J72</f>
        <v>2285.16</v>
      </c>
    </row>
    <row r="73" customFormat="false" ht="15" hidden="false" customHeight="false" outlineLevel="0" collapsed="false">
      <c r="A73" s="11" t="n">
        <v>46040</v>
      </c>
      <c r="B73" s="5" t="s">
        <v>157</v>
      </c>
      <c r="C73" s="5" t="s">
        <v>73</v>
      </c>
      <c r="D73" s="5" t="s">
        <v>64</v>
      </c>
      <c r="E73" s="5" t="s">
        <v>58</v>
      </c>
      <c r="F73" s="5" t="s">
        <v>59</v>
      </c>
      <c r="G73" s="5" t="n">
        <v>2355</v>
      </c>
      <c r="H73" s="12" t="n">
        <v>3.74</v>
      </c>
      <c r="I73" s="12" t="n">
        <v>8807.7</v>
      </c>
      <c r="J73" s="12" t="n">
        <v>4003.5</v>
      </c>
      <c r="K73" s="12" t="n">
        <f aca="false">I73-J73</f>
        <v>4804.2</v>
      </c>
    </row>
    <row r="74" customFormat="false" ht="15" hidden="false" customHeight="false" outlineLevel="0" collapsed="false">
      <c r="A74" s="11" t="n">
        <v>46040</v>
      </c>
      <c r="B74" s="5" t="s">
        <v>158</v>
      </c>
      <c r="C74" s="5" t="s">
        <v>68</v>
      </c>
      <c r="D74" s="5" t="s">
        <v>69</v>
      </c>
      <c r="E74" s="5" t="s">
        <v>58</v>
      </c>
      <c r="F74" s="5" t="s">
        <v>61</v>
      </c>
      <c r="G74" s="5" t="n">
        <v>160</v>
      </c>
      <c r="H74" s="12" t="n">
        <v>24.5</v>
      </c>
      <c r="I74" s="12" t="n">
        <v>3920</v>
      </c>
      <c r="J74" s="12" t="n">
        <v>1888</v>
      </c>
      <c r="K74" s="12" t="n">
        <f aca="false">I74-J74</f>
        <v>2032</v>
      </c>
    </row>
    <row r="75" customFormat="false" ht="15" hidden="false" customHeight="false" outlineLevel="0" collapsed="false">
      <c r="A75" s="11" t="n">
        <v>46040</v>
      </c>
      <c r="B75" s="5" t="s">
        <v>159</v>
      </c>
      <c r="C75" s="5" t="s">
        <v>99</v>
      </c>
      <c r="D75" s="5" t="s">
        <v>69</v>
      </c>
      <c r="E75" s="5" t="s">
        <v>75</v>
      </c>
      <c r="F75" s="5" t="s">
        <v>78</v>
      </c>
      <c r="G75" s="5" t="n">
        <v>317</v>
      </c>
      <c r="H75" s="12" t="n">
        <v>5.86</v>
      </c>
      <c r="I75" s="12" t="n">
        <v>1857.62</v>
      </c>
      <c r="J75" s="12" t="n">
        <v>824.2</v>
      </c>
      <c r="K75" s="12" t="n">
        <f aca="false">I75-J75</f>
        <v>1033.42</v>
      </c>
    </row>
    <row r="76" customFormat="false" ht="15" hidden="false" customHeight="false" outlineLevel="0" collapsed="false">
      <c r="A76" s="11" t="n">
        <v>46040</v>
      </c>
      <c r="B76" s="5" t="s">
        <v>160</v>
      </c>
      <c r="C76" s="5" t="s">
        <v>81</v>
      </c>
      <c r="D76" s="5" t="s">
        <v>64</v>
      </c>
      <c r="E76" s="5" t="s">
        <v>65</v>
      </c>
      <c r="F76" s="5" t="s">
        <v>88</v>
      </c>
      <c r="G76" s="5" t="n">
        <v>515</v>
      </c>
      <c r="H76" s="12" t="n">
        <v>11.5</v>
      </c>
      <c r="I76" s="12" t="n">
        <v>5922.5</v>
      </c>
      <c r="J76" s="12" t="n">
        <v>2626.5</v>
      </c>
      <c r="K76" s="12" t="n">
        <f aca="false">I76-J76</f>
        <v>3296</v>
      </c>
    </row>
    <row r="77" customFormat="false" ht="15" hidden="false" customHeight="false" outlineLevel="0" collapsed="false">
      <c r="A77" s="11" t="n">
        <v>46040</v>
      </c>
      <c r="B77" s="5" t="s">
        <v>161</v>
      </c>
      <c r="C77" s="5" t="s">
        <v>68</v>
      </c>
      <c r="D77" s="5" t="s">
        <v>69</v>
      </c>
      <c r="E77" s="5" t="s">
        <v>65</v>
      </c>
      <c r="F77" s="5" t="s">
        <v>66</v>
      </c>
      <c r="G77" s="5" t="n">
        <v>58</v>
      </c>
      <c r="H77" s="12" t="n">
        <v>24.9</v>
      </c>
      <c r="I77" s="12" t="n">
        <v>1444.2</v>
      </c>
      <c r="J77" s="12" t="n">
        <v>661.2</v>
      </c>
      <c r="K77" s="12" t="n">
        <f aca="false">I77-J77</f>
        <v>783</v>
      </c>
    </row>
    <row r="78" customFormat="false" ht="15" hidden="false" customHeight="false" outlineLevel="0" collapsed="false">
      <c r="A78" s="11" t="n">
        <v>46041</v>
      </c>
      <c r="B78" s="5" t="s">
        <v>162</v>
      </c>
      <c r="C78" s="5" t="s">
        <v>94</v>
      </c>
      <c r="D78" s="5" t="s">
        <v>95</v>
      </c>
      <c r="E78" s="5" t="s">
        <v>75</v>
      </c>
      <c r="F78" s="5" t="s">
        <v>76</v>
      </c>
      <c r="G78" s="5" t="n">
        <v>609</v>
      </c>
      <c r="H78" s="12" t="n">
        <v>4.8</v>
      </c>
      <c r="I78" s="12" t="n">
        <v>2923.2</v>
      </c>
      <c r="J78" s="12" t="n">
        <v>1248.45</v>
      </c>
      <c r="K78" s="12" t="n">
        <f aca="false">I78-J78</f>
        <v>1674.75</v>
      </c>
    </row>
    <row r="79" customFormat="false" ht="15" hidden="false" customHeight="false" outlineLevel="0" collapsed="false">
      <c r="A79" s="11" t="n">
        <v>46041</v>
      </c>
      <c r="B79" s="5" t="s">
        <v>163</v>
      </c>
      <c r="C79" s="5" t="s">
        <v>81</v>
      </c>
      <c r="D79" s="5" t="s">
        <v>64</v>
      </c>
      <c r="E79" s="5" t="s">
        <v>65</v>
      </c>
      <c r="F79" s="5" t="s">
        <v>103</v>
      </c>
      <c r="G79" s="5" t="n">
        <v>390</v>
      </c>
      <c r="H79" s="12" t="n">
        <v>15.2</v>
      </c>
      <c r="I79" s="12" t="n">
        <v>5928</v>
      </c>
      <c r="J79" s="12" t="n">
        <v>2652</v>
      </c>
      <c r="K79" s="12" t="n">
        <f aca="false">I79-J79</f>
        <v>3276</v>
      </c>
    </row>
    <row r="80" customFormat="false" ht="15" hidden="false" customHeight="false" outlineLevel="0" collapsed="false">
      <c r="A80" s="11" t="n">
        <v>46042</v>
      </c>
      <c r="B80" s="5" t="s">
        <v>164</v>
      </c>
      <c r="C80" s="5" t="s">
        <v>73</v>
      </c>
      <c r="D80" s="5" t="s">
        <v>64</v>
      </c>
      <c r="E80" s="5" t="s">
        <v>58</v>
      </c>
      <c r="F80" s="5" t="s">
        <v>61</v>
      </c>
      <c r="G80" s="5" t="n">
        <v>374</v>
      </c>
      <c r="H80" s="12" t="n">
        <v>23.52</v>
      </c>
      <c r="I80" s="12" t="n">
        <v>8796.48</v>
      </c>
      <c r="J80" s="12" t="n">
        <v>4413.2</v>
      </c>
      <c r="K80" s="12" t="n">
        <f aca="false">I80-J80</f>
        <v>4383.28</v>
      </c>
    </row>
    <row r="81" customFormat="false" ht="15" hidden="false" customHeight="false" outlineLevel="0" collapsed="false">
      <c r="A81" s="11" t="n">
        <v>46042</v>
      </c>
      <c r="B81" s="5" t="s">
        <v>165</v>
      </c>
      <c r="C81" s="5" t="s">
        <v>99</v>
      </c>
      <c r="D81" s="5" t="s">
        <v>69</v>
      </c>
      <c r="E81" s="5" t="s">
        <v>75</v>
      </c>
      <c r="F81" s="5" t="s">
        <v>76</v>
      </c>
      <c r="G81" s="5" t="n">
        <v>403</v>
      </c>
      <c r="H81" s="12" t="n">
        <v>4.61</v>
      </c>
      <c r="I81" s="12" t="n">
        <v>1857.83</v>
      </c>
      <c r="J81" s="12" t="n">
        <v>826.15</v>
      </c>
      <c r="K81" s="12" t="n">
        <f aca="false">I81-J81</f>
        <v>1031.68</v>
      </c>
    </row>
    <row r="82" customFormat="false" ht="15" hidden="false" customHeight="false" outlineLevel="0" collapsed="false">
      <c r="A82" s="11" t="n">
        <v>46042</v>
      </c>
      <c r="B82" s="5" t="s">
        <v>166</v>
      </c>
      <c r="C82" s="5" t="s">
        <v>115</v>
      </c>
      <c r="D82" s="5" t="s">
        <v>69</v>
      </c>
      <c r="E82" s="5" t="s">
        <v>65</v>
      </c>
      <c r="F82" s="5" t="s">
        <v>88</v>
      </c>
      <c r="G82" s="5" t="n">
        <v>188</v>
      </c>
      <c r="H82" s="12" t="n">
        <v>11.5</v>
      </c>
      <c r="I82" s="12" t="n">
        <v>2162</v>
      </c>
      <c r="J82" s="12" t="n">
        <v>958.8</v>
      </c>
      <c r="K82" s="12" t="n">
        <f aca="false">I82-J82</f>
        <v>1203.2</v>
      </c>
    </row>
    <row r="83" customFormat="false" ht="15" hidden="false" customHeight="false" outlineLevel="0" collapsed="false">
      <c r="A83" s="11" t="n">
        <v>46042</v>
      </c>
      <c r="B83" s="5" t="s">
        <v>167</v>
      </c>
      <c r="C83" s="5" t="s">
        <v>68</v>
      </c>
      <c r="D83" s="5" t="s">
        <v>69</v>
      </c>
      <c r="E83" s="5" t="s">
        <v>65</v>
      </c>
      <c r="F83" s="5" t="s">
        <v>88</v>
      </c>
      <c r="G83" s="5" t="n">
        <v>127</v>
      </c>
      <c r="H83" s="12" t="n">
        <v>11.5</v>
      </c>
      <c r="I83" s="12" t="n">
        <v>1460.5</v>
      </c>
      <c r="J83" s="12" t="n">
        <v>647.7</v>
      </c>
      <c r="K83" s="12" t="n">
        <f aca="false">I83-J83</f>
        <v>812.8</v>
      </c>
    </row>
    <row r="84" customFormat="false" ht="15" hidden="false" customHeight="false" outlineLevel="0" collapsed="false">
      <c r="A84" s="11" t="n">
        <v>46042</v>
      </c>
      <c r="B84" s="5" t="s">
        <v>168</v>
      </c>
      <c r="C84" s="5" t="s">
        <v>63</v>
      </c>
      <c r="D84" s="5" t="s">
        <v>64</v>
      </c>
      <c r="E84" s="5" t="s">
        <v>70</v>
      </c>
      <c r="F84" s="5" t="s">
        <v>90</v>
      </c>
      <c r="G84" s="5" t="n">
        <v>3246</v>
      </c>
      <c r="H84" s="12" t="n">
        <v>2.7</v>
      </c>
      <c r="I84" s="12" t="n">
        <v>8764.2</v>
      </c>
      <c r="J84" s="12" t="n">
        <v>3895.2</v>
      </c>
      <c r="K84" s="12" t="n">
        <f aca="false">I84-J84</f>
        <v>4869</v>
      </c>
    </row>
    <row r="85" customFormat="false" ht="15" hidden="false" customHeight="false" outlineLevel="0" collapsed="false">
      <c r="A85" s="11" t="n">
        <v>46042</v>
      </c>
      <c r="B85" s="5" t="s">
        <v>169</v>
      </c>
      <c r="C85" s="5" t="s">
        <v>115</v>
      </c>
      <c r="D85" s="5" t="s">
        <v>69</v>
      </c>
      <c r="E85" s="5" t="s">
        <v>70</v>
      </c>
      <c r="F85" s="5" t="s">
        <v>90</v>
      </c>
      <c r="G85" s="5" t="n">
        <v>1044</v>
      </c>
      <c r="H85" s="12" t="n">
        <v>2.7</v>
      </c>
      <c r="I85" s="12" t="n">
        <v>2818.8</v>
      </c>
      <c r="J85" s="12" t="n">
        <v>1252.8</v>
      </c>
      <c r="K85" s="12" t="n">
        <f aca="false">I85-J85</f>
        <v>1566</v>
      </c>
    </row>
    <row r="86" customFormat="false" ht="15" hidden="false" customHeight="false" outlineLevel="0" collapsed="false">
      <c r="A86" s="11" t="n">
        <v>46043</v>
      </c>
      <c r="B86" s="5" t="s">
        <v>170</v>
      </c>
      <c r="C86" s="5" t="s">
        <v>85</v>
      </c>
      <c r="D86" s="5" t="s">
        <v>69</v>
      </c>
      <c r="E86" s="5" t="s">
        <v>75</v>
      </c>
      <c r="F86" s="5" t="s">
        <v>78</v>
      </c>
      <c r="G86" s="5" t="n">
        <v>112</v>
      </c>
      <c r="H86" s="12" t="n">
        <v>6.1</v>
      </c>
      <c r="I86" s="12" t="n">
        <v>683.2</v>
      </c>
      <c r="J86" s="12" t="n">
        <v>291.2</v>
      </c>
      <c r="K86" s="12" t="n">
        <f aca="false">I86-J86</f>
        <v>392</v>
      </c>
    </row>
    <row r="87" customFormat="false" ht="15" hidden="false" customHeight="false" outlineLevel="0" collapsed="false">
      <c r="A87" s="11" t="n">
        <v>46043</v>
      </c>
      <c r="B87" s="5" t="s">
        <v>171</v>
      </c>
      <c r="C87" s="5" t="s">
        <v>87</v>
      </c>
      <c r="D87" s="5" t="s">
        <v>64</v>
      </c>
      <c r="E87" s="5" t="s">
        <v>65</v>
      </c>
      <c r="F87" s="5" t="s">
        <v>88</v>
      </c>
      <c r="G87" s="5" t="n">
        <v>172</v>
      </c>
      <c r="H87" s="12" t="n">
        <v>11.5</v>
      </c>
      <c r="I87" s="12" t="n">
        <v>1978</v>
      </c>
      <c r="J87" s="12" t="n">
        <v>877.2</v>
      </c>
      <c r="K87" s="12" t="n">
        <f aca="false">I87-J87</f>
        <v>1100.8</v>
      </c>
    </row>
    <row r="88" customFormat="false" ht="15" hidden="false" customHeight="false" outlineLevel="0" collapsed="false">
      <c r="A88" s="11" t="n">
        <v>46044</v>
      </c>
      <c r="B88" s="5" t="s">
        <v>172</v>
      </c>
      <c r="C88" s="5" t="s">
        <v>87</v>
      </c>
      <c r="D88" s="5" t="s">
        <v>64</v>
      </c>
      <c r="E88" s="5" t="s">
        <v>58</v>
      </c>
      <c r="F88" s="5" t="s">
        <v>117</v>
      </c>
      <c r="G88" s="5" t="n">
        <v>1681</v>
      </c>
      <c r="H88" s="12" t="n">
        <v>3.4</v>
      </c>
      <c r="I88" s="12" t="n">
        <v>5715.4</v>
      </c>
      <c r="J88" s="12" t="n">
        <v>2437.45</v>
      </c>
      <c r="K88" s="12" t="n">
        <f aca="false">I88-J88</f>
        <v>3277.95</v>
      </c>
    </row>
    <row r="89" customFormat="false" ht="15" hidden="false" customHeight="false" outlineLevel="0" collapsed="false">
      <c r="A89" s="11" t="n">
        <v>46044</v>
      </c>
      <c r="B89" s="5" t="s">
        <v>173</v>
      </c>
      <c r="C89" s="5" t="s">
        <v>87</v>
      </c>
      <c r="D89" s="5" t="s">
        <v>64</v>
      </c>
      <c r="E89" s="5" t="s">
        <v>75</v>
      </c>
      <c r="F89" s="5" t="s">
        <v>78</v>
      </c>
      <c r="G89" s="5" t="n">
        <v>222</v>
      </c>
      <c r="H89" s="12" t="n">
        <v>6.1</v>
      </c>
      <c r="I89" s="12" t="n">
        <v>1354.2</v>
      </c>
      <c r="J89" s="12" t="n">
        <v>577.2</v>
      </c>
      <c r="K89" s="12" t="n">
        <f aca="false">I89-J89</f>
        <v>777</v>
      </c>
    </row>
    <row r="90" customFormat="false" ht="15" hidden="false" customHeight="false" outlineLevel="0" collapsed="false">
      <c r="A90" s="11" t="n">
        <v>46044</v>
      </c>
      <c r="B90" s="5" t="s">
        <v>174</v>
      </c>
      <c r="C90" s="5" t="s">
        <v>68</v>
      </c>
      <c r="D90" s="5" t="s">
        <v>69</v>
      </c>
      <c r="E90" s="5" t="s">
        <v>75</v>
      </c>
      <c r="F90" s="5" t="s">
        <v>78</v>
      </c>
      <c r="G90" s="5" t="n">
        <v>252</v>
      </c>
      <c r="H90" s="12" t="n">
        <v>6.1</v>
      </c>
      <c r="I90" s="12" t="n">
        <v>1537.2</v>
      </c>
      <c r="J90" s="12" t="n">
        <v>655.2</v>
      </c>
      <c r="K90" s="12" t="n">
        <f aca="false">I90-J90</f>
        <v>882</v>
      </c>
    </row>
    <row r="91" customFormat="false" ht="15" hidden="false" customHeight="false" outlineLevel="0" collapsed="false">
      <c r="A91" s="11" t="n">
        <v>46044</v>
      </c>
      <c r="B91" s="5" t="s">
        <v>175</v>
      </c>
      <c r="C91" s="5" t="s">
        <v>63</v>
      </c>
      <c r="D91" s="5" t="s">
        <v>64</v>
      </c>
      <c r="E91" s="5" t="s">
        <v>65</v>
      </c>
      <c r="F91" s="5" t="s">
        <v>103</v>
      </c>
      <c r="G91" s="5" t="n">
        <v>547</v>
      </c>
      <c r="H91" s="12" t="n">
        <v>15.2</v>
      </c>
      <c r="I91" s="12" t="n">
        <v>8314.4</v>
      </c>
      <c r="J91" s="12" t="n">
        <v>3719.6</v>
      </c>
      <c r="K91" s="12" t="n">
        <f aca="false">I91-J91</f>
        <v>4594.8</v>
      </c>
    </row>
    <row r="92" customFormat="false" ht="15" hidden="false" customHeight="false" outlineLevel="0" collapsed="false">
      <c r="A92" s="11" t="n">
        <v>46044</v>
      </c>
      <c r="B92" s="5" t="s">
        <v>176</v>
      </c>
      <c r="C92" s="5" t="s">
        <v>115</v>
      </c>
      <c r="D92" s="5" t="s">
        <v>69</v>
      </c>
      <c r="E92" s="5" t="s">
        <v>70</v>
      </c>
      <c r="F92" s="5" t="s">
        <v>71</v>
      </c>
      <c r="G92" s="5" t="n">
        <v>956</v>
      </c>
      <c r="H92" s="12" t="n">
        <v>2.95</v>
      </c>
      <c r="I92" s="12" t="n">
        <v>2820.2</v>
      </c>
      <c r="J92" s="12" t="n">
        <v>1242.8</v>
      </c>
      <c r="K92" s="12" t="n">
        <f aca="false">I92-J92</f>
        <v>1577.4</v>
      </c>
    </row>
    <row r="93" customFormat="false" ht="15" hidden="false" customHeight="false" outlineLevel="0" collapsed="false">
      <c r="A93" s="11" t="n">
        <v>46044</v>
      </c>
      <c r="B93" s="5" t="s">
        <v>177</v>
      </c>
      <c r="C93" s="5" t="s">
        <v>68</v>
      </c>
      <c r="D93" s="5" t="s">
        <v>69</v>
      </c>
      <c r="E93" s="5" t="s">
        <v>70</v>
      </c>
      <c r="F93" s="5" t="s">
        <v>71</v>
      </c>
      <c r="G93" s="5" t="n">
        <v>445</v>
      </c>
      <c r="H93" s="12" t="n">
        <v>2.95</v>
      </c>
      <c r="I93" s="12" t="n">
        <v>1312.75</v>
      </c>
      <c r="J93" s="12" t="n">
        <v>578.5</v>
      </c>
      <c r="K93" s="12" t="n">
        <f aca="false">I93-J93</f>
        <v>734.25</v>
      </c>
    </row>
    <row r="94" customFormat="false" ht="15" hidden="false" customHeight="false" outlineLevel="0" collapsed="false">
      <c r="A94" s="11" t="n">
        <v>46045</v>
      </c>
      <c r="B94" s="5" t="s">
        <v>178</v>
      </c>
      <c r="C94" s="5" t="s">
        <v>63</v>
      </c>
      <c r="D94" s="5" t="s">
        <v>64</v>
      </c>
      <c r="E94" s="5" t="s">
        <v>58</v>
      </c>
      <c r="F94" s="5" t="s">
        <v>117</v>
      </c>
      <c r="G94" s="5" t="n">
        <v>5933</v>
      </c>
      <c r="H94" s="12" t="n">
        <v>3.4</v>
      </c>
      <c r="I94" s="12" t="n">
        <v>20172.2</v>
      </c>
      <c r="J94" s="12" t="n">
        <v>8602.85</v>
      </c>
      <c r="K94" s="12" t="n">
        <f aca="false">I94-J94</f>
        <v>11569.35</v>
      </c>
    </row>
    <row r="95" customFormat="false" ht="15" hidden="false" customHeight="false" outlineLevel="0" collapsed="false">
      <c r="A95" s="11" t="n">
        <v>46045</v>
      </c>
      <c r="B95" s="5" t="s">
        <v>179</v>
      </c>
      <c r="C95" s="5" t="s">
        <v>73</v>
      </c>
      <c r="D95" s="5" t="s">
        <v>64</v>
      </c>
      <c r="E95" s="5" t="s">
        <v>58</v>
      </c>
      <c r="F95" s="5" t="s">
        <v>61</v>
      </c>
      <c r="G95" s="5" t="n">
        <v>374</v>
      </c>
      <c r="H95" s="12" t="n">
        <v>23.52</v>
      </c>
      <c r="I95" s="12" t="n">
        <v>8796.48</v>
      </c>
      <c r="J95" s="12" t="n">
        <v>4413.2</v>
      </c>
      <c r="K95" s="12" t="n">
        <f aca="false">I95-J95</f>
        <v>4383.28</v>
      </c>
    </row>
    <row r="96" customFormat="false" ht="15" hidden="false" customHeight="false" outlineLevel="0" collapsed="false">
      <c r="A96" s="11" t="n">
        <v>46045</v>
      </c>
      <c r="B96" s="5" t="s">
        <v>180</v>
      </c>
      <c r="C96" s="5" t="s">
        <v>68</v>
      </c>
      <c r="D96" s="5" t="s">
        <v>69</v>
      </c>
      <c r="E96" s="5" t="s">
        <v>65</v>
      </c>
      <c r="F96" s="5" t="s">
        <v>88</v>
      </c>
      <c r="G96" s="5" t="n">
        <v>127</v>
      </c>
      <c r="H96" s="12" t="n">
        <v>11.5</v>
      </c>
      <c r="I96" s="12" t="n">
        <v>1460.5</v>
      </c>
      <c r="J96" s="12" t="n">
        <v>647.7</v>
      </c>
      <c r="K96" s="12" t="n">
        <f aca="false">I96-J96</f>
        <v>812.8</v>
      </c>
    </row>
    <row r="97" customFormat="false" ht="15" hidden="false" customHeight="false" outlineLevel="0" collapsed="false">
      <c r="A97" s="11" t="n">
        <v>46045</v>
      </c>
      <c r="B97" s="5" t="s">
        <v>181</v>
      </c>
      <c r="C97" s="5" t="s">
        <v>56</v>
      </c>
      <c r="D97" s="5" t="s">
        <v>57</v>
      </c>
      <c r="E97" s="5" t="s">
        <v>65</v>
      </c>
      <c r="F97" s="5" t="s">
        <v>103</v>
      </c>
      <c r="G97" s="5" t="n">
        <v>365</v>
      </c>
      <c r="H97" s="12" t="n">
        <v>15.2</v>
      </c>
      <c r="I97" s="12" t="n">
        <v>5548</v>
      </c>
      <c r="J97" s="12" t="n">
        <v>2482</v>
      </c>
      <c r="K97" s="12" t="n">
        <f aca="false">I97-J97</f>
        <v>3066</v>
      </c>
    </row>
    <row r="98" customFormat="false" ht="15" hidden="false" customHeight="false" outlineLevel="0" collapsed="false">
      <c r="A98" s="11" t="n">
        <v>46045</v>
      </c>
      <c r="B98" s="5" t="s">
        <v>182</v>
      </c>
      <c r="C98" s="5" t="s">
        <v>73</v>
      </c>
      <c r="D98" s="5" t="s">
        <v>64</v>
      </c>
      <c r="E98" s="5" t="s">
        <v>70</v>
      </c>
      <c r="F98" s="5" t="s">
        <v>92</v>
      </c>
      <c r="G98" s="5" t="n">
        <v>1851</v>
      </c>
      <c r="H98" s="12" t="n">
        <v>2.3</v>
      </c>
      <c r="I98" s="12" t="n">
        <v>4257.3</v>
      </c>
      <c r="J98" s="12" t="n">
        <v>1758.45</v>
      </c>
      <c r="K98" s="12" t="n">
        <f aca="false">I98-J98</f>
        <v>2498.85</v>
      </c>
    </row>
    <row r="99" customFormat="false" ht="15" hidden="false" customHeight="false" outlineLevel="0" collapsed="false">
      <c r="A99" s="11" t="n">
        <v>46045</v>
      </c>
      <c r="B99" s="5" t="s">
        <v>183</v>
      </c>
      <c r="C99" s="5" t="s">
        <v>115</v>
      </c>
      <c r="D99" s="5" t="s">
        <v>69</v>
      </c>
      <c r="E99" s="5" t="s">
        <v>70</v>
      </c>
      <c r="F99" s="5" t="s">
        <v>90</v>
      </c>
      <c r="G99" s="5" t="n">
        <v>1044</v>
      </c>
      <c r="H99" s="12" t="n">
        <v>2.7</v>
      </c>
      <c r="I99" s="12" t="n">
        <v>2818.8</v>
      </c>
      <c r="J99" s="12" t="n">
        <v>1252.8</v>
      </c>
      <c r="K99" s="12" t="n">
        <f aca="false">I99-J99</f>
        <v>1566</v>
      </c>
    </row>
    <row r="100" customFormat="false" ht="15" hidden="false" customHeight="false" outlineLevel="0" collapsed="false">
      <c r="A100" s="11" t="n">
        <v>46045</v>
      </c>
      <c r="B100" s="5" t="s">
        <v>184</v>
      </c>
      <c r="C100" s="5" t="s">
        <v>85</v>
      </c>
      <c r="D100" s="5" t="s">
        <v>69</v>
      </c>
      <c r="E100" s="5" t="s">
        <v>70</v>
      </c>
      <c r="F100" s="5" t="s">
        <v>92</v>
      </c>
      <c r="G100" s="5" t="n">
        <v>873</v>
      </c>
      <c r="H100" s="12" t="n">
        <v>2.4</v>
      </c>
      <c r="I100" s="12" t="n">
        <v>2095.2</v>
      </c>
      <c r="J100" s="12" t="n">
        <v>829.35</v>
      </c>
      <c r="K100" s="12" t="n">
        <f aca="false">I100-J100</f>
        <v>1265.85</v>
      </c>
    </row>
    <row r="101" customFormat="false" ht="15" hidden="false" customHeight="false" outlineLevel="0" collapsed="false">
      <c r="A101" s="11" t="n">
        <v>46046</v>
      </c>
      <c r="B101" s="5" t="s">
        <v>185</v>
      </c>
      <c r="C101" s="5" t="s">
        <v>56</v>
      </c>
      <c r="D101" s="5" t="s">
        <v>57</v>
      </c>
      <c r="E101" s="5" t="s">
        <v>75</v>
      </c>
      <c r="F101" s="5" t="s">
        <v>76</v>
      </c>
      <c r="G101" s="5" t="n">
        <v>677</v>
      </c>
      <c r="H101" s="12" t="n">
        <v>4.8</v>
      </c>
      <c r="I101" s="12" t="n">
        <v>3249.6</v>
      </c>
      <c r="J101" s="12" t="n">
        <v>1387.85</v>
      </c>
      <c r="K101" s="12" t="n">
        <f aca="false">I101-J101</f>
        <v>1861.75</v>
      </c>
    </row>
    <row r="102" customFormat="false" ht="15" hidden="false" customHeight="false" outlineLevel="0" collapsed="false">
      <c r="A102" s="11" t="n">
        <v>46046</v>
      </c>
      <c r="B102" s="5" t="s">
        <v>186</v>
      </c>
      <c r="C102" s="5" t="s">
        <v>99</v>
      </c>
      <c r="D102" s="5" t="s">
        <v>69</v>
      </c>
      <c r="E102" s="5" t="s">
        <v>70</v>
      </c>
      <c r="F102" s="5" t="s">
        <v>92</v>
      </c>
      <c r="G102" s="5" t="n">
        <v>3340</v>
      </c>
      <c r="H102" s="12" t="n">
        <v>2.3</v>
      </c>
      <c r="I102" s="12" t="n">
        <v>7682</v>
      </c>
      <c r="J102" s="12" t="n">
        <v>3173</v>
      </c>
      <c r="K102" s="12" t="n">
        <f aca="false">I102-J102</f>
        <v>4509</v>
      </c>
    </row>
    <row r="103" customFormat="false" ht="15" hidden="false" customHeight="false" outlineLevel="0" collapsed="false">
      <c r="A103" s="11" t="n">
        <v>46047</v>
      </c>
      <c r="B103" s="5" t="s">
        <v>187</v>
      </c>
      <c r="C103" s="5" t="s">
        <v>115</v>
      </c>
      <c r="D103" s="5" t="s">
        <v>69</v>
      </c>
      <c r="E103" s="5" t="s">
        <v>58</v>
      </c>
      <c r="F103" s="5" t="s">
        <v>96</v>
      </c>
      <c r="G103" s="5" t="n">
        <v>5615</v>
      </c>
      <c r="H103" s="12" t="n">
        <v>2.1</v>
      </c>
      <c r="I103" s="12" t="n">
        <v>11791.5</v>
      </c>
      <c r="J103" s="12" t="n">
        <v>5165.8</v>
      </c>
      <c r="K103" s="12" t="n">
        <f aca="false">I103-J103</f>
        <v>6625.7</v>
      </c>
    </row>
    <row r="104" customFormat="false" ht="15" hidden="false" customHeight="false" outlineLevel="0" collapsed="false">
      <c r="A104" s="11" t="n">
        <v>46047</v>
      </c>
      <c r="B104" s="5" t="s">
        <v>188</v>
      </c>
      <c r="C104" s="5" t="s">
        <v>63</v>
      </c>
      <c r="D104" s="5" t="s">
        <v>64</v>
      </c>
      <c r="E104" s="5" t="s">
        <v>75</v>
      </c>
      <c r="F104" s="5" t="s">
        <v>83</v>
      </c>
      <c r="G104" s="5" t="n">
        <v>786</v>
      </c>
      <c r="H104" s="12" t="n">
        <v>4.2</v>
      </c>
      <c r="I104" s="12" t="n">
        <v>3301.2</v>
      </c>
      <c r="J104" s="12" t="n">
        <v>1454.1</v>
      </c>
      <c r="K104" s="12" t="n">
        <f aca="false">I104-J104</f>
        <v>1847.1</v>
      </c>
    </row>
    <row r="105" customFormat="false" ht="15" hidden="false" customHeight="false" outlineLevel="0" collapsed="false">
      <c r="A105" s="11" t="n">
        <v>46047</v>
      </c>
      <c r="B105" s="5" t="s">
        <v>189</v>
      </c>
      <c r="C105" s="5" t="s">
        <v>115</v>
      </c>
      <c r="D105" s="5" t="s">
        <v>69</v>
      </c>
      <c r="E105" s="5" t="s">
        <v>75</v>
      </c>
      <c r="F105" s="5" t="s">
        <v>78</v>
      </c>
      <c r="G105" s="5" t="n">
        <v>278</v>
      </c>
      <c r="H105" s="12" t="n">
        <v>6.1</v>
      </c>
      <c r="I105" s="12" t="n">
        <v>1695.8</v>
      </c>
      <c r="J105" s="12" t="n">
        <v>722.8</v>
      </c>
      <c r="K105" s="12" t="n">
        <f aca="false">I105-J105</f>
        <v>973</v>
      </c>
    </row>
    <row r="106" customFormat="false" ht="15" hidden="false" customHeight="false" outlineLevel="0" collapsed="false">
      <c r="A106" s="11" t="n">
        <v>46048</v>
      </c>
      <c r="B106" s="5" t="s">
        <v>190</v>
      </c>
      <c r="C106" s="5" t="s">
        <v>99</v>
      </c>
      <c r="D106" s="5" t="s">
        <v>69</v>
      </c>
      <c r="E106" s="5" t="s">
        <v>58</v>
      </c>
      <c r="F106" s="5" t="s">
        <v>117</v>
      </c>
      <c r="G106" s="5" t="n">
        <v>3152</v>
      </c>
      <c r="H106" s="12" t="n">
        <v>3.26</v>
      </c>
      <c r="I106" s="12" t="n">
        <v>10275.52</v>
      </c>
      <c r="J106" s="12" t="n">
        <v>4570.4</v>
      </c>
      <c r="K106" s="12" t="n">
        <f aca="false">I106-J106</f>
        <v>5705.12</v>
      </c>
    </row>
    <row r="107" customFormat="false" ht="15" hidden="false" customHeight="false" outlineLevel="0" collapsed="false">
      <c r="A107" s="11" t="n">
        <v>46048</v>
      </c>
      <c r="B107" s="5" t="s">
        <v>191</v>
      </c>
      <c r="C107" s="5" t="s">
        <v>99</v>
      </c>
      <c r="D107" s="5" t="s">
        <v>69</v>
      </c>
      <c r="E107" s="5" t="s">
        <v>58</v>
      </c>
      <c r="F107" s="5" t="s">
        <v>61</v>
      </c>
      <c r="G107" s="5" t="n">
        <v>436</v>
      </c>
      <c r="H107" s="12" t="n">
        <v>23.52</v>
      </c>
      <c r="I107" s="12" t="n">
        <v>10254.72</v>
      </c>
      <c r="J107" s="12" t="n">
        <v>5144.8</v>
      </c>
      <c r="K107" s="12" t="n">
        <f aca="false">I107-J107</f>
        <v>5109.92</v>
      </c>
    </row>
    <row r="108" customFormat="false" ht="15" hidden="false" customHeight="false" outlineLevel="0" collapsed="false">
      <c r="A108" s="11" t="n">
        <v>46048</v>
      </c>
      <c r="B108" s="5" t="s">
        <v>192</v>
      </c>
      <c r="C108" s="5" t="s">
        <v>115</v>
      </c>
      <c r="D108" s="5" t="s">
        <v>69</v>
      </c>
      <c r="E108" s="5" t="s">
        <v>75</v>
      </c>
      <c r="F108" s="5" t="s">
        <v>78</v>
      </c>
      <c r="G108" s="5" t="n">
        <v>278</v>
      </c>
      <c r="H108" s="12" t="n">
        <v>6.1</v>
      </c>
      <c r="I108" s="12" t="n">
        <v>1695.8</v>
      </c>
      <c r="J108" s="12" t="n">
        <v>722.8</v>
      </c>
      <c r="K108" s="12" t="n">
        <f aca="false">I108-J108</f>
        <v>973</v>
      </c>
    </row>
    <row r="109" customFormat="false" ht="15" hidden="false" customHeight="false" outlineLevel="0" collapsed="false">
      <c r="A109" s="11" t="n">
        <v>46048</v>
      </c>
      <c r="B109" s="5" t="s">
        <v>193</v>
      </c>
      <c r="C109" s="5" t="s">
        <v>99</v>
      </c>
      <c r="D109" s="5" t="s">
        <v>69</v>
      </c>
      <c r="E109" s="5" t="s">
        <v>65</v>
      </c>
      <c r="F109" s="5" t="s">
        <v>103</v>
      </c>
      <c r="G109" s="5" t="n">
        <v>265</v>
      </c>
      <c r="H109" s="12" t="n">
        <v>14.59</v>
      </c>
      <c r="I109" s="12" t="n">
        <v>3866.35</v>
      </c>
      <c r="J109" s="12" t="n">
        <v>1802</v>
      </c>
      <c r="K109" s="12" t="n">
        <f aca="false">I109-J109</f>
        <v>2064.35</v>
      </c>
    </row>
    <row r="110" customFormat="false" ht="15" hidden="false" customHeight="false" outlineLevel="0" collapsed="false">
      <c r="A110" s="11" t="n">
        <v>46048</v>
      </c>
      <c r="B110" s="5" t="s">
        <v>194</v>
      </c>
      <c r="C110" s="5" t="s">
        <v>87</v>
      </c>
      <c r="D110" s="5" t="s">
        <v>64</v>
      </c>
      <c r="E110" s="5" t="s">
        <v>65</v>
      </c>
      <c r="F110" s="5" t="s">
        <v>103</v>
      </c>
      <c r="G110" s="5" t="n">
        <v>130</v>
      </c>
      <c r="H110" s="12" t="n">
        <v>15.2</v>
      </c>
      <c r="I110" s="12" t="n">
        <v>1976</v>
      </c>
      <c r="J110" s="12" t="n">
        <v>884</v>
      </c>
      <c r="K110" s="12" t="n">
        <f aca="false">I110-J110</f>
        <v>1092</v>
      </c>
    </row>
    <row r="111" customFormat="false" ht="15" hidden="false" customHeight="false" outlineLevel="0" collapsed="false">
      <c r="A111" s="11" t="n">
        <v>46048</v>
      </c>
      <c r="B111" s="5" t="s">
        <v>195</v>
      </c>
      <c r="C111" s="5" t="s">
        <v>85</v>
      </c>
      <c r="D111" s="5" t="s">
        <v>69</v>
      </c>
      <c r="E111" s="5" t="s">
        <v>65</v>
      </c>
      <c r="F111" s="5" t="s">
        <v>88</v>
      </c>
      <c r="G111" s="5" t="n">
        <v>94</v>
      </c>
      <c r="H111" s="12" t="n">
        <v>11.5</v>
      </c>
      <c r="I111" s="12" t="n">
        <v>1081</v>
      </c>
      <c r="J111" s="12" t="n">
        <v>479.4</v>
      </c>
      <c r="K111" s="12" t="n">
        <f aca="false">I111-J111</f>
        <v>601.6</v>
      </c>
    </row>
    <row r="112" customFormat="false" ht="15" hidden="false" customHeight="false" outlineLevel="0" collapsed="false">
      <c r="A112" s="11" t="n">
        <v>46048</v>
      </c>
      <c r="B112" s="5" t="s">
        <v>196</v>
      </c>
      <c r="C112" s="5" t="s">
        <v>81</v>
      </c>
      <c r="D112" s="5" t="s">
        <v>64</v>
      </c>
      <c r="E112" s="5" t="s">
        <v>70</v>
      </c>
      <c r="F112" s="5" t="s">
        <v>90</v>
      </c>
      <c r="G112" s="5" t="n">
        <v>2620</v>
      </c>
      <c r="H112" s="12" t="n">
        <v>2.7</v>
      </c>
      <c r="I112" s="12" t="n">
        <v>7074</v>
      </c>
      <c r="J112" s="12" t="n">
        <v>3144</v>
      </c>
      <c r="K112" s="12" t="n">
        <f aca="false">I112-J112</f>
        <v>3930</v>
      </c>
    </row>
    <row r="113" customFormat="false" ht="15" hidden="false" customHeight="false" outlineLevel="0" collapsed="false">
      <c r="A113" s="11" t="n">
        <v>46048</v>
      </c>
      <c r="B113" s="5" t="s">
        <v>197</v>
      </c>
      <c r="C113" s="5" t="s">
        <v>56</v>
      </c>
      <c r="D113" s="5" t="s">
        <v>57</v>
      </c>
      <c r="E113" s="5" t="s">
        <v>70</v>
      </c>
      <c r="F113" s="5" t="s">
        <v>92</v>
      </c>
      <c r="G113" s="5" t="n">
        <v>1437</v>
      </c>
      <c r="H113" s="12" t="n">
        <v>2.4</v>
      </c>
      <c r="I113" s="12" t="n">
        <v>3448.8</v>
      </c>
      <c r="J113" s="12" t="n">
        <v>1365.15</v>
      </c>
      <c r="K113" s="12" t="n">
        <f aca="false">I113-J113</f>
        <v>2083.65</v>
      </c>
    </row>
    <row r="114" customFormat="false" ht="15" hidden="false" customHeight="false" outlineLevel="0" collapsed="false">
      <c r="A114" s="11" t="n">
        <v>46049</v>
      </c>
      <c r="B114" s="5" t="s">
        <v>198</v>
      </c>
      <c r="C114" s="5" t="s">
        <v>87</v>
      </c>
      <c r="D114" s="5" t="s">
        <v>64</v>
      </c>
      <c r="E114" s="5" t="s">
        <v>70</v>
      </c>
      <c r="F114" s="5" t="s">
        <v>90</v>
      </c>
      <c r="G114" s="5" t="n">
        <v>1512</v>
      </c>
      <c r="H114" s="12" t="n">
        <v>2.7</v>
      </c>
      <c r="I114" s="12" t="n">
        <v>4082.4</v>
      </c>
      <c r="J114" s="12" t="n">
        <v>1814.4</v>
      </c>
      <c r="K114" s="12" t="n">
        <f aca="false">I114-J114</f>
        <v>2268</v>
      </c>
    </row>
    <row r="115" customFormat="false" ht="15" hidden="false" customHeight="false" outlineLevel="0" collapsed="false">
      <c r="A115" s="11" t="n">
        <v>46049</v>
      </c>
      <c r="B115" s="5" t="s">
        <v>199</v>
      </c>
      <c r="C115" s="5" t="s">
        <v>85</v>
      </c>
      <c r="D115" s="5" t="s">
        <v>69</v>
      </c>
      <c r="E115" s="5" t="s">
        <v>70</v>
      </c>
      <c r="F115" s="5" t="s">
        <v>90</v>
      </c>
      <c r="G115" s="5" t="n">
        <v>776</v>
      </c>
      <c r="H115" s="12" t="n">
        <v>2.7</v>
      </c>
      <c r="I115" s="12" t="n">
        <v>2095.2</v>
      </c>
      <c r="J115" s="12" t="n">
        <v>931.2</v>
      </c>
      <c r="K115" s="12" t="n">
        <f aca="false">I115-J115</f>
        <v>1164</v>
      </c>
    </row>
    <row r="116" customFormat="false" ht="15" hidden="false" customHeight="false" outlineLevel="0" collapsed="false">
      <c r="A116" s="11" t="n">
        <v>46050</v>
      </c>
      <c r="B116" s="5" t="s">
        <v>200</v>
      </c>
      <c r="C116" s="5" t="s">
        <v>85</v>
      </c>
      <c r="D116" s="5" t="s">
        <v>69</v>
      </c>
      <c r="E116" s="5" t="s">
        <v>65</v>
      </c>
      <c r="F116" s="5" t="s">
        <v>103</v>
      </c>
      <c r="G116" s="5" t="n">
        <v>71</v>
      </c>
      <c r="H116" s="12" t="n">
        <v>15.2</v>
      </c>
      <c r="I116" s="12" t="n">
        <v>1079.2</v>
      </c>
      <c r="J116" s="12" t="n">
        <v>482.8</v>
      </c>
      <c r="K116" s="12" t="n">
        <f aca="false">I116-J116</f>
        <v>596.4</v>
      </c>
    </row>
    <row r="117" customFormat="false" ht="15" hidden="false" customHeight="false" outlineLevel="0" collapsed="false">
      <c r="A117" s="11" t="n">
        <v>46054</v>
      </c>
      <c r="B117" s="5" t="s">
        <v>201</v>
      </c>
      <c r="C117" s="5" t="s">
        <v>87</v>
      </c>
      <c r="D117" s="5" t="s">
        <v>64</v>
      </c>
      <c r="E117" s="5" t="s">
        <v>58</v>
      </c>
      <c r="F117" s="5" t="s">
        <v>96</v>
      </c>
      <c r="G117" s="5" t="n">
        <v>4433</v>
      </c>
      <c r="H117" s="12" t="n">
        <v>2.1</v>
      </c>
      <c r="I117" s="12" t="n">
        <v>9309.3</v>
      </c>
      <c r="J117" s="12" t="n">
        <v>4078.36</v>
      </c>
      <c r="K117" s="12" t="n">
        <f aca="false">I117-J117</f>
        <v>5230.94</v>
      </c>
    </row>
    <row r="118" customFormat="false" ht="15" hidden="false" customHeight="false" outlineLevel="0" collapsed="false">
      <c r="A118" s="11" t="n">
        <v>46054</v>
      </c>
      <c r="B118" s="5" t="s">
        <v>202</v>
      </c>
      <c r="C118" s="5" t="s">
        <v>56</v>
      </c>
      <c r="D118" s="5" t="s">
        <v>57</v>
      </c>
      <c r="E118" s="5" t="s">
        <v>58</v>
      </c>
      <c r="F118" s="5" t="s">
        <v>59</v>
      </c>
      <c r="G118" s="5" t="n">
        <v>2087</v>
      </c>
      <c r="H118" s="12" t="n">
        <v>3.9</v>
      </c>
      <c r="I118" s="12" t="n">
        <v>8139.3</v>
      </c>
      <c r="J118" s="12" t="n">
        <v>3547.9</v>
      </c>
      <c r="K118" s="12" t="n">
        <f aca="false">I118-J118</f>
        <v>4591.4</v>
      </c>
    </row>
    <row r="119" customFormat="false" ht="15" hidden="false" customHeight="false" outlineLevel="0" collapsed="false">
      <c r="A119" s="11" t="n">
        <v>46054</v>
      </c>
      <c r="B119" s="5" t="s">
        <v>203</v>
      </c>
      <c r="C119" s="5" t="s">
        <v>87</v>
      </c>
      <c r="D119" s="5" t="s">
        <v>64</v>
      </c>
      <c r="E119" s="5" t="s">
        <v>75</v>
      </c>
      <c r="F119" s="5" t="s">
        <v>76</v>
      </c>
      <c r="G119" s="5" t="n">
        <v>250</v>
      </c>
      <c r="H119" s="12" t="n">
        <v>4.8</v>
      </c>
      <c r="I119" s="12" t="n">
        <v>1200</v>
      </c>
      <c r="J119" s="12" t="n">
        <v>512.5</v>
      </c>
      <c r="K119" s="12" t="n">
        <f aca="false">I119-J119</f>
        <v>687.5</v>
      </c>
    </row>
    <row r="120" customFormat="false" ht="15" hidden="false" customHeight="false" outlineLevel="0" collapsed="false">
      <c r="A120" s="11" t="n">
        <v>46054</v>
      </c>
      <c r="B120" s="5" t="s">
        <v>204</v>
      </c>
      <c r="C120" s="5" t="s">
        <v>99</v>
      </c>
      <c r="D120" s="5" t="s">
        <v>69</v>
      </c>
      <c r="E120" s="5" t="s">
        <v>65</v>
      </c>
      <c r="F120" s="5" t="s">
        <v>88</v>
      </c>
      <c r="G120" s="5" t="n">
        <v>325</v>
      </c>
      <c r="H120" s="12" t="n">
        <v>11.04</v>
      </c>
      <c r="I120" s="12" t="n">
        <v>3588</v>
      </c>
      <c r="J120" s="12" t="n">
        <v>1657.5</v>
      </c>
      <c r="K120" s="12" t="n">
        <f aca="false">I120-J120</f>
        <v>1930.5</v>
      </c>
    </row>
    <row r="121" customFormat="false" ht="15" hidden="false" customHeight="false" outlineLevel="0" collapsed="false">
      <c r="A121" s="11" t="n">
        <v>46055</v>
      </c>
      <c r="B121" s="5" t="s">
        <v>205</v>
      </c>
      <c r="C121" s="5" t="s">
        <v>99</v>
      </c>
      <c r="D121" s="5" t="s">
        <v>69</v>
      </c>
      <c r="E121" s="5" t="s">
        <v>58</v>
      </c>
      <c r="F121" s="5" t="s">
        <v>96</v>
      </c>
      <c r="G121" s="5" t="n">
        <v>4906</v>
      </c>
      <c r="H121" s="12" t="n">
        <v>2.02</v>
      </c>
      <c r="I121" s="12" t="n">
        <v>9910.12</v>
      </c>
      <c r="J121" s="12" t="n">
        <v>4513.52</v>
      </c>
      <c r="K121" s="12" t="n">
        <f aca="false">I121-J121</f>
        <v>5396.6</v>
      </c>
    </row>
    <row r="122" customFormat="false" ht="15" hidden="false" customHeight="false" outlineLevel="0" collapsed="false">
      <c r="A122" s="11" t="n">
        <v>46055</v>
      </c>
      <c r="B122" s="5" t="s">
        <v>206</v>
      </c>
      <c r="C122" s="5" t="s">
        <v>73</v>
      </c>
      <c r="D122" s="5" t="s">
        <v>64</v>
      </c>
      <c r="E122" s="5" t="s">
        <v>75</v>
      </c>
      <c r="F122" s="5" t="s">
        <v>83</v>
      </c>
      <c r="G122" s="5" t="n">
        <v>334</v>
      </c>
      <c r="H122" s="12" t="n">
        <v>4.03</v>
      </c>
      <c r="I122" s="12" t="n">
        <v>1346.02</v>
      </c>
      <c r="J122" s="12" t="n">
        <v>617.9</v>
      </c>
      <c r="K122" s="12" t="n">
        <f aca="false">I122-J122</f>
        <v>728.12</v>
      </c>
    </row>
    <row r="123" customFormat="false" ht="15" hidden="false" customHeight="false" outlineLevel="0" collapsed="false">
      <c r="A123" s="11" t="n">
        <v>46055</v>
      </c>
      <c r="B123" s="5" t="s">
        <v>207</v>
      </c>
      <c r="C123" s="5" t="s">
        <v>68</v>
      </c>
      <c r="D123" s="5" t="s">
        <v>69</v>
      </c>
      <c r="E123" s="5" t="s">
        <v>75</v>
      </c>
      <c r="F123" s="5" t="s">
        <v>83</v>
      </c>
      <c r="G123" s="5" t="n">
        <v>150</v>
      </c>
      <c r="H123" s="12" t="n">
        <v>4.2</v>
      </c>
      <c r="I123" s="12" t="n">
        <v>630</v>
      </c>
      <c r="J123" s="12" t="n">
        <v>277.5</v>
      </c>
      <c r="K123" s="12" t="n">
        <f aca="false">I123-J123</f>
        <v>352.5</v>
      </c>
    </row>
    <row r="124" customFormat="false" ht="15" hidden="false" customHeight="false" outlineLevel="0" collapsed="false">
      <c r="A124" s="11" t="n">
        <v>46055</v>
      </c>
      <c r="B124" s="5" t="s">
        <v>208</v>
      </c>
      <c r="C124" s="5" t="s">
        <v>56</v>
      </c>
      <c r="D124" s="5" t="s">
        <v>57</v>
      </c>
      <c r="E124" s="5" t="s">
        <v>75</v>
      </c>
      <c r="F124" s="5" t="s">
        <v>76</v>
      </c>
      <c r="G124" s="5" t="n">
        <v>264</v>
      </c>
      <c r="H124" s="12" t="n">
        <v>4.8</v>
      </c>
      <c r="I124" s="12" t="n">
        <v>1267.2</v>
      </c>
      <c r="J124" s="12" t="n">
        <v>541.2</v>
      </c>
      <c r="K124" s="12" t="n">
        <f aca="false">I124-J124</f>
        <v>726</v>
      </c>
    </row>
    <row r="125" customFormat="false" ht="15" hidden="false" customHeight="false" outlineLevel="0" collapsed="false">
      <c r="A125" s="11" t="n">
        <v>46055</v>
      </c>
      <c r="B125" s="5" t="s">
        <v>209</v>
      </c>
      <c r="C125" s="5" t="s">
        <v>81</v>
      </c>
      <c r="D125" s="5" t="s">
        <v>64</v>
      </c>
      <c r="E125" s="5" t="s">
        <v>65</v>
      </c>
      <c r="F125" s="5" t="s">
        <v>66</v>
      </c>
      <c r="G125" s="5" t="n">
        <v>208</v>
      </c>
      <c r="H125" s="12" t="n">
        <v>24.9</v>
      </c>
      <c r="I125" s="12" t="n">
        <v>5179.2</v>
      </c>
      <c r="J125" s="12" t="n">
        <v>2371.2</v>
      </c>
      <c r="K125" s="12" t="n">
        <f aca="false">I125-J125</f>
        <v>2808</v>
      </c>
    </row>
    <row r="126" customFormat="false" ht="15" hidden="false" customHeight="false" outlineLevel="0" collapsed="false">
      <c r="A126" s="11" t="n">
        <v>46056</v>
      </c>
      <c r="B126" s="5" t="s">
        <v>210</v>
      </c>
      <c r="C126" s="5" t="s">
        <v>63</v>
      </c>
      <c r="D126" s="5" t="s">
        <v>64</v>
      </c>
      <c r="E126" s="5" t="s">
        <v>58</v>
      </c>
      <c r="F126" s="5" t="s">
        <v>117</v>
      </c>
      <c r="G126" s="5" t="n">
        <v>3440</v>
      </c>
      <c r="H126" s="12" t="n">
        <v>3.4</v>
      </c>
      <c r="I126" s="12" t="n">
        <v>11696</v>
      </c>
      <c r="J126" s="12" t="n">
        <v>4988</v>
      </c>
      <c r="K126" s="12" t="n">
        <f aca="false">I126-J126</f>
        <v>6708</v>
      </c>
    </row>
    <row r="127" customFormat="false" ht="15" hidden="false" customHeight="false" outlineLevel="0" collapsed="false">
      <c r="A127" s="11" t="n">
        <v>46056</v>
      </c>
      <c r="B127" s="5" t="s">
        <v>211</v>
      </c>
      <c r="C127" s="5" t="s">
        <v>63</v>
      </c>
      <c r="D127" s="5" t="s">
        <v>64</v>
      </c>
      <c r="E127" s="5" t="s">
        <v>75</v>
      </c>
      <c r="F127" s="5" t="s">
        <v>76</v>
      </c>
      <c r="G127" s="5" t="n">
        <v>348</v>
      </c>
      <c r="H127" s="12" t="n">
        <v>4.8</v>
      </c>
      <c r="I127" s="12" t="n">
        <v>1670.4</v>
      </c>
      <c r="J127" s="12" t="n">
        <v>713.4</v>
      </c>
      <c r="K127" s="12" t="n">
        <f aca="false">I127-J127</f>
        <v>957</v>
      </c>
    </row>
    <row r="128" customFormat="false" ht="15" hidden="false" customHeight="false" outlineLevel="0" collapsed="false">
      <c r="A128" s="11" t="n">
        <v>46056</v>
      </c>
      <c r="B128" s="5" t="s">
        <v>212</v>
      </c>
      <c r="C128" s="5" t="s">
        <v>56</v>
      </c>
      <c r="D128" s="5" t="s">
        <v>57</v>
      </c>
      <c r="E128" s="5" t="s">
        <v>75</v>
      </c>
      <c r="F128" s="5" t="s">
        <v>78</v>
      </c>
      <c r="G128" s="5" t="n">
        <v>208</v>
      </c>
      <c r="H128" s="12" t="n">
        <v>6.1</v>
      </c>
      <c r="I128" s="12" t="n">
        <v>1268.8</v>
      </c>
      <c r="J128" s="12" t="n">
        <v>540.8</v>
      </c>
      <c r="K128" s="12" t="n">
        <f aca="false">I128-J128</f>
        <v>728</v>
      </c>
    </row>
    <row r="129" customFormat="false" ht="15" hidden="false" customHeight="false" outlineLevel="0" collapsed="false">
      <c r="A129" s="11" t="n">
        <v>46056</v>
      </c>
      <c r="B129" s="5" t="s">
        <v>213</v>
      </c>
      <c r="C129" s="5" t="s">
        <v>115</v>
      </c>
      <c r="D129" s="5" t="s">
        <v>69</v>
      </c>
      <c r="E129" s="5" t="s">
        <v>65</v>
      </c>
      <c r="F129" s="5" t="s">
        <v>103</v>
      </c>
      <c r="G129" s="5" t="n">
        <v>135</v>
      </c>
      <c r="H129" s="12" t="n">
        <v>15.2</v>
      </c>
      <c r="I129" s="12" t="n">
        <v>2052</v>
      </c>
      <c r="J129" s="12" t="n">
        <v>918</v>
      </c>
      <c r="K129" s="12" t="n">
        <f aca="false">I129-J129</f>
        <v>1134</v>
      </c>
    </row>
    <row r="130" customFormat="false" ht="15" hidden="false" customHeight="false" outlineLevel="0" collapsed="false">
      <c r="A130" s="11" t="n">
        <v>46056</v>
      </c>
      <c r="B130" s="5" t="s">
        <v>214</v>
      </c>
      <c r="C130" s="5" t="s">
        <v>68</v>
      </c>
      <c r="D130" s="5" t="s">
        <v>69</v>
      </c>
      <c r="E130" s="5" t="s">
        <v>70</v>
      </c>
      <c r="F130" s="5" t="s">
        <v>90</v>
      </c>
      <c r="G130" s="5" t="n">
        <v>670</v>
      </c>
      <c r="H130" s="12" t="n">
        <v>2.7</v>
      </c>
      <c r="I130" s="12" t="n">
        <v>1809</v>
      </c>
      <c r="J130" s="12" t="n">
        <v>804</v>
      </c>
      <c r="K130" s="12" t="n">
        <f aca="false">I130-J130</f>
        <v>1005</v>
      </c>
    </row>
    <row r="131" customFormat="false" ht="15" hidden="false" customHeight="false" outlineLevel="0" collapsed="false">
      <c r="A131" s="11" t="n">
        <v>46057</v>
      </c>
      <c r="B131" s="5" t="s">
        <v>215</v>
      </c>
      <c r="C131" s="5" t="s">
        <v>85</v>
      </c>
      <c r="D131" s="5" t="s">
        <v>69</v>
      </c>
      <c r="E131" s="5" t="s">
        <v>58</v>
      </c>
      <c r="F131" s="5" t="s">
        <v>59</v>
      </c>
      <c r="G131" s="5" t="n">
        <v>861</v>
      </c>
      <c r="H131" s="12" t="n">
        <v>3.9</v>
      </c>
      <c r="I131" s="12" t="n">
        <v>3357.9</v>
      </c>
      <c r="J131" s="12" t="n">
        <v>1463.7</v>
      </c>
      <c r="K131" s="12" t="n">
        <f aca="false">I131-J131</f>
        <v>1894.2</v>
      </c>
    </row>
    <row r="132" customFormat="false" ht="15" hidden="false" customHeight="false" outlineLevel="0" collapsed="false">
      <c r="A132" s="11" t="n">
        <v>46057</v>
      </c>
      <c r="B132" s="5" t="s">
        <v>216</v>
      </c>
      <c r="C132" s="5" t="s">
        <v>99</v>
      </c>
      <c r="D132" s="5" t="s">
        <v>69</v>
      </c>
      <c r="E132" s="5" t="s">
        <v>75</v>
      </c>
      <c r="F132" s="5" t="s">
        <v>83</v>
      </c>
      <c r="G132" s="5" t="n">
        <v>448</v>
      </c>
      <c r="H132" s="12" t="n">
        <v>4.03</v>
      </c>
      <c r="I132" s="12" t="n">
        <v>1805.44</v>
      </c>
      <c r="J132" s="12" t="n">
        <v>828.8</v>
      </c>
      <c r="K132" s="12" t="n">
        <f aca="false">I132-J132</f>
        <v>976.64</v>
      </c>
    </row>
    <row r="133" customFormat="false" ht="15" hidden="false" customHeight="false" outlineLevel="0" collapsed="false">
      <c r="A133" s="11" t="n">
        <v>46057</v>
      </c>
      <c r="B133" s="5" t="s">
        <v>217</v>
      </c>
      <c r="C133" s="5" t="s">
        <v>85</v>
      </c>
      <c r="D133" s="5" t="s">
        <v>69</v>
      </c>
      <c r="E133" s="5" t="s">
        <v>65</v>
      </c>
      <c r="F133" s="5" t="s">
        <v>66</v>
      </c>
      <c r="G133" s="5" t="n">
        <v>34</v>
      </c>
      <c r="H133" s="12" t="n">
        <v>24.9</v>
      </c>
      <c r="I133" s="12" t="n">
        <v>846.6</v>
      </c>
      <c r="J133" s="12" t="n">
        <v>387.6</v>
      </c>
      <c r="K133" s="12" t="n">
        <f aca="false">I133-J133</f>
        <v>459</v>
      </c>
    </row>
    <row r="134" customFormat="false" ht="15" hidden="false" customHeight="false" outlineLevel="0" collapsed="false">
      <c r="A134" s="11" t="n">
        <v>46057</v>
      </c>
      <c r="B134" s="5" t="s">
        <v>218</v>
      </c>
      <c r="C134" s="5" t="s">
        <v>56</v>
      </c>
      <c r="D134" s="5" t="s">
        <v>57</v>
      </c>
      <c r="E134" s="5" t="s">
        <v>65</v>
      </c>
      <c r="F134" s="5" t="s">
        <v>103</v>
      </c>
      <c r="G134" s="5" t="n">
        <v>201</v>
      </c>
      <c r="H134" s="12" t="n">
        <v>15.2</v>
      </c>
      <c r="I134" s="12" t="n">
        <v>3055.2</v>
      </c>
      <c r="J134" s="12" t="n">
        <v>1366.8</v>
      </c>
      <c r="K134" s="12" t="n">
        <f aca="false">I134-J134</f>
        <v>1688.4</v>
      </c>
    </row>
    <row r="135" customFormat="false" ht="15" hidden="false" customHeight="false" outlineLevel="0" collapsed="false">
      <c r="A135" s="11" t="n">
        <v>46058</v>
      </c>
      <c r="B135" s="5" t="s">
        <v>219</v>
      </c>
      <c r="C135" s="5" t="s">
        <v>68</v>
      </c>
      <c r="D135" s="5" t="s">
        <v>69</v>
      </c>
      <c r="E135" s="5" t="s">
        <v>65</v>
      </c>
      <c r="F135" s="5" t="s">
        <v>66</v>
      </c>
      <c r="G135" s="5" t="n">
        <v>75</v>
      </c>
      <c r="H135" s="12" t="n">
        <v>24.9</v>
      </c>
      <c r="I135" s="12" t="n">
        <v>1867.5</v>
      </c>
      <c r="J135" s="12" t="n">
        <v>855</v>
      </c>
      <c r="K135" s="12" t="n">
        <f aca="false">I135-J135</f>
        <v>1012.5</v>
      </c>
    </row>
    <row r="136" customFormat="false" ht="15" hidden="false" customHeight="false" outlineLevel="0" collapsed="false">
      <c r="A136" s="11" t="n">
        <v>46058</v>
      </c>
      <c r="B136" s="5" t="s">
        <v>220</v>
      </c>
      <c r="C136" s="5" t="s">
        <v>73</v>
      </c>
      <c r="D136" s="5" t="s">
        <v>64</v>
      </c>
      <c r="E136" s="5" t="s">
        <v>70</v>
      </c>
      <c r="F136" s="5" t="s">
        <v>90</v>
      </c>
      <c r="G136" s="5" t="n">
        <v>1331</v>
      </c>
      <c r="H136" s="12" t="n">
        <v>2.59</v>
      </c>
      <c r="I136" s="12" t="n">
        <v>3447.29</v>
      </c>
      <c r="J136" s="12" t="n">
        <v>1597.2</v>
      </c>
      <c r="K136" s="12" t="n">
        <f aca="false">I136-J136</f>
        <v>1850.09</v>
      </c>
    </row>
    <row r="137" customFormat="false" ht="15" hidden="false" customHeight="false" outlineLevel="0" collapsed="false">
      <c r="A137" s="11" t="n">
        <v>46059</v>
      </c>
      <c r="B137" s="5" t="s">
        <v>221</v>
      </c>
      <c r="C137" s="5" t="s">
        <v>99</v>
      </c>
      <c r="D137" s="5" t="s">
        <v>69</v>
      </c>
      <c r="E137" s="5" t="s">
        <v>58</v>
      </c>
      <c r="F137" s="5" t="s">
        <v>61</v>
      </c>
      <c r="G137" s="5" t="n">
        <v>421</v>
      </c>
      <c r="H137" s="12" t="n">
        <v>23.52</v>
      </c>
      <c r="I137" s="12" t="n">
        <v>9901.92</v>
      </c>
      <c r="J137" s="12" t="n">
        <v>4967.8</v>
      </c>
      <c r="K137" s="12" t="n">
        <f aca="false">I137-J137</f>
        <v>4934.12</v>
      </c>
    </row>
    <row r="138" customFormat="false" ht="15" hidden="false" customHeight="false" outlineLevel="0" collapsed="false">
      <c r="A138" s="11" t="n">
        <v>46059</v>
      </c>
      <c r="B138" s="5" t="s">
        <v>222</v>
      </c>
      <c r="C138" s="5" t="s">
        <v>63</v>
      </c>
      <c r="D138" s="5" t="s">
        <v>64</v>
      </c>
      <c r="E138" s="5" t="s">
        <v>58</v>
      </c>
      <c r="F138" s="5" t="s">
        <v>96</v>
      </c>
      <c r="G138" s="5" t="n">
        <v>5570</v>
      </c>
      <c r="H138" s="12" t="n">
        <v>2.1</v>
      </c>
      <c r="I138" s="12" t="n">
        <v>11697</v>
      </c>
      <c r="J138" s="12" t="n">
        <v>5124.4</v>
      </c>
      <c r="K138" s="12" t="n">
        <f aca="false">I138-J138</f>
        <v>6572.6</v>
      </c>
    </row>
    <row r="139" customFormat="false" ht="15" hidden="false" customHeight="false" outlineLevel="0" collapsed="false">
      <c r="A139" s="11" t="n">
        <v>46059</v>
      </c>
      <c r="B139" s="5" t="s">
        <v>223</v>
      </c>
      <c r="C139" s="5" t="s">
        <v>115</v>
      </c>
      <c r="D139" s="5" t="s">
        <v>69</v>
      </c>
      <c r="E139" s="5" t="s">
        <v>75</v>
      </c>
      <c r="F139" s="5" t="s">
        <v>83</v>
      </c>
      <c r="G139" s="5" t="n">
        <v>160</v>
      </c>
      <c r="H139" s="12" t="n">
        <v>4.2</v>
      </c>
      <c r="I139" s="12" t="n">
        <v>672</v>
      </c>
      <c r="J139" s="12" t="n">
        <v>296</v>
      </c>
      <c r="K139" s="12" t="n">
        <f aca="false">I139-J139</f>
        <v>376</v>
      </c>
    </row>
    <row r="140" customFormat="false" ht="15" hidden="false" customHeight="false" outlineLevel="0" collapsed="false">
      <c r="A140" s="11" t="n">
        <v>46059</v>
      </c>
      <c r="B140" s="5" t="s">
        <v>224</v>
      </c>
      <c r="C140" s="5" t="s">
        <v>73</v>
      </c>
      <c r="D140" s="5" t="s">
        <v>64</v>
      </c>
      <c r="E140" s="5" t="s">
        <v>65</v>
      </c>
      <c r="F140" s="5" t="s">
        <v>103</v>
      </c>
      <c r="G140" s="5" t="n">
        <v>406</v>
      </c>
      <c r="H140" s="12" t="n">
        <v>14.59</v>
      </c>
      <c r="I140" s="12" t="n">
        <v>5923.54</v>
      </c>
      <c r="J140" s="12" t="n">
        <v>2760.8</v>
      </c>
      <c r="K140" s="12" t="n">
        <f aca="false">I140-J140</f>
        <v>3162.74</v>
      </c>
    </row>
    <row r="141" customFormat="false" ht="15" hidden="false" customHeight="false" outlineLevel="0" collapsed="false">
      <c r="A141" s="11" t="n">
        <v>46059</v>
      </c>
      <c r="B141" s="5" t="s">
        <v>225</v>
      </c>
      <c r="C141" s="5" t="s">
        <v>94</v>
      </c>
      <c r="D141" s="5" t="s">
        <v>95</v>
      </c>
      <c r="E141" s="5" t="s">
        <v>65</v>
      </c>
      <c r="F141" s="5" t="s">
        <v>88</v>
      </c>
      <c r="G141" s="5" t="n">
        <v>288</v>
      </c>
      <c r="H141" s="12" t="n">
        <v>11.5</v>
      </c>
      <c r="I141" s="12" t="n">
        <v>3312</v>
      </c>
      <c r="J141" s="12" t="n">
        <v>1468.8</v>
      </c>
      <c r="K141" s="12" t="n">
        <f aca="false">I141-J141</f>
        <v>1843.2</v>
      </c>
    </row>
    <row r="142" customFormat="false" ht="15" hidden="false" customHeight="false" outlineLevel="0" collapsed="false">
      <c r="A142" s="11" t="n">
        <v>46059</v>
      </c>
      <c r="B142" s="5" t="s">
        <v>226</v>
      </c>
      <c r="C142" s="5" t="s">
        <v>115</v>
      </c>
      <c r="D142" s="5" t="s">
        <v>69</v>
      </c>
      <c r="E142" s="5" t="s">
        <v>65</v>
      </c>
      <c r="F142" s="5" t="s">
        <v>66</v>
      </c>
      <c r="G142" s="5" t="n">
        <v>82</v>
      </c>
      <c r="H142" s="12" t="n">
        <v>24.9</v>
      </c>
      <c r="I142" s="12" t="n">
        <v>2041.8</v>
      </c>
      <c r="J142" s="12" t="n">
        <v>934.8</v>
      </c>
      <c r="K142" s="12" t="n">
        <f aca="false">I142-J142</f>
        <v>1107</v>
      </c>
    </row>
    <row r="143" customFormat="false" ht="15" hidden="false" customHeight="false" outlineLevel="0" collapsed="false">
      <c r="A143" s="11" t="n">
        <v>46059</v>
      </c>
      <c r="B143" s="5" t="s">
        <v>227</v>
      </c>
      <c r="C143" s="5" t="s">
        <v>99</v>
      </c>
      <c r="D143" s="5" t="s">
        <v>69</v>
      </c>
      <c r="E143" s="5" t="s">
        <v>70</v>
      </c>
      <c r="F143" s="5" t="s">
        <v>92</v>
      </c>
      <c r="G143" s="5" t="n">
        <v>2988</v>
      </c>
      <c r="H143" s="12" t="n">
        <v>2.3</v>
      </c>
      <c r="I143" s="12" t="n">
        <v>6872.4</v>
      </c>
      <c r="J143" s="12" t="n">
        <v>2838.6</v>
      </c>
      <c r="K143" s="12" t="n">
        <f aca="false">I143-J143</f>
        <v>4033.8</v>
      </c>
    </row>
    <row r="144" customFormat="false" ht="15" hidden="false" customHeight="false" outlineLevel="0" collapsed="false">
      <c r="A144" s="11" t="n">
        <v>46060</v>
      </c>
      <c r="B144" s="5" t="s">
        <v>228</v>
      </c>
      <c r="C144" s="5" t="s">
        <v>63</v>
      </c>
      <c r="D144" s="5" t="s">
        <v>64</v>
      </c>
      <c r="E144" s="5" t="s">
        <v>58</v>
      </c>
      <c r="F144" s="5" t="s">
        <v>59</v>
      </c>
      <c r="G144" s="5" t="n">
        <v>2999</v>
      </c>
      <c r="H144" s="12" t="n">
        <v>3.9</v>
      </c>
      <c r="I144" s="12" t="n">
        <v>11696.1</v>
      </c>
      <c r="J144" s="12" t="n">
        <v>5098.3</v>
      </c>
      <c r="K144" s="12" t="n">
        <f aca="false">I144-J144</f>
        <v>6597.8</v>
      </c>
    </row>
    <row r="145" customFormat="false" ht="15" hidden="false" customHeight="false" outlineLevel="0" collapsed="false">
      <c r="A145" s="11" t="n">
        <v>46060</v>
      </c>
      <c r="B145" s="5" t="s">
        <v>229</v>
      </c>
      <c r="C145" s="5" t="s">
        <v>94</v>
      </c>
      <c r="D145" s="5" t="s">
        <v>95</v>
      </c>
      <c r="E145" s="5" t="s">
        <v>58</v>
      </c>
      <c r="F145" s="5" t="s">
        <v>61</v>
      </c>
      <c r="G145" s="5" t="n">
        <v>583</v>
      </c>
      <c r="H145" s="12" t="n">
        <v>24.5</v>
      </c>
      <c r="I145" s="12" t="n">
        <v>14283.5</v>
      </c>
      <c r="J145" s="12" t="n">
        <v>6879.4</v>
      </c>
      <c r="K145" s="12" t="n">
        <f aca="false">I145-J145</f>
        <v>7404.1</v>
      </c>
    </row>
    <row r="146" customFormat="false" ht="15" hidden="false" customHeight="false" outlineLevel="0" collapsed="false">
      <c r="A146" s="11" t="n">
        <v>46060</v>
      </c>
      <c r="B146" s="5" t="s">
        <v>230</v>
      </c>
      <c r="C146" s="5" t="s">
        <v>85</v>
      </c>
      <c r="D146" s="5" t="s">
        <v>69</v>
      </c>
      <c r="E146" s="5" t="s">
        <v>58</v>
      </c>
      <c r="F146" s="5" t="s">
        <v>117</v>
      </c>
      <c r="G146" s="5" t="n">
        <v>987</v>
      </c>
      <c r="H146" s="12" t="n">
        <v>3.4</v>
      </c>
      <c r="I146" s="12" t="n">
        <v>3355.8</v>
      </c>
      <c r="J146" s="12" t="n">
        <v>1431.15</v>
      </c>
      <c r="K146" s="12" t="n">
        <f aca="false">I146-J146</f>
        <v>1924.65</v>
      </c>
    </row>
    <row r="147" customFormat="false" ht="15" hidden="false" customHeight="false" outlineLevel="0" collapsed="false">
      <c r="A147" s="11" t="n">
        <v>46060</v>
      </c>
      <c r="B147" s="5" t="s">
        <v>231</v>
      </c>
      <c r="C147" s="5" t="s">
        <v>99</v>
      </c>
      <c r="D147" s="5" t="s">
        <v>69</v>
      </c>
      <c r="E147" s="5" t="s">
        <v>75</v>
      </c>
      <c r="F147" s="5" t="s">
        <v>78</v>
      </c>
      <c r="G147" s="5" t="n">
        <v>308</v>
      </c>
      <c r="H147" s="12" t="n">
        <v>5.86</v>
      </c>
      <c r="I147" s="12" t="n">
        <v>1804.88</v>
      </c>
      <c r="J147" s="12" t="n">
        <v>800.8</v>
      </c>
      <c r="K147" s="12" t="n">
        <f aca="false">I147-J147</f>
        <v>1004.08</v>
      </c>
    </row>
    <row r="148" customFormat="false" ht="15" hidden="false" customHeight="false" outlineLevel="0" collapsed="false">
      <c r="A148" s="11" t="n">
        <v>46060</v>
      </c>
      <c r="B148" s="5" t="s">
        <v>232</v>
      </c>
      <c r="C148" s="5" t="s">
        <v>73</v>
      </c>
      <c r="D148" s="5" t="s">
        <v>64</v>
      </c>
      <c r="E148" s="5" t="s">
        <v>75</v>
      </c>
      <c r="F148" s="5" t="s">
        <v>76</v>
      </c>
      <c r="G148" s="5" t="n">
        <v>292</v>
      </c>
      <c r="H148" s="12" t="n">
        <v>4.61</v>
      </c>
      <c r="I148" s="12" t="n">
        <v>1346.12</v>
      </c>
      <c r="J148" s="12" t="n">
        <v>598.6</v>
      </c>
      <c r="K148" s="12" t="n">
        <f aca="false">I148-J148</f>
        <v>747.52</v>
      </c>
    </row>
    <row r="149" customFormat="false" ht="15" hidden="false" customHeight="false" outlineLevel="0" collapsed="false">
      <c r="A149" s="11" t="n">
        <v>46060</v>
      </c>
      <c r="B149" s="5" t="s">
        <v>233</v>
      </c>
      <c r="C149" s="5" t="s">
        <v>85</v>
      </c>
      <c r="D149" s="5" t="s">
        <v>69</v>
      </c>
      <c r="E149" s="5" t="s">
        <v>75</v>
      </c>
      <c r="F149" s="5" t="s">
        <v>78</v>
      </c>
      <c r="G149" s="5" t="n">
        <v>85</v>
      </c>
      <c r="H149" s="12" t="n">
        <v>6.1</v>
      </c>
      <c r="I149" s="12" t="n">
        <v>518.5</v>
      </c>
      <c r="J149" s="12" t="n">
        <v>221</v>
      </c>
      <c r="K149" s="12" t="n">
        <f aca="false">I149-J149</f>
        <v>297.5</v>
      </c>
    </row>
    <row r="150" customFormat="false" ht="15" hidden="false" customHeight="false" outlineLevel="0" collapsed="false">
      <c r="A150" s="11" t="n">
        <v>46060</v>
      </c>
      <c r="B150" s="5" t="s">
        <v>234</v>
      </c>
      <c r="C150" s="5" t="s">
        <v>85</v>
      </c>
      <c r="D150" s="5" t="s">
        <v>69</v>
      </c>
      <c r="E150" s="5" t="s">
        <v>75</v>
      </c>
      <c r="F150" s="5" t="s">
        <v>76</v>
      </c>
      <c r="G150" s="5" t="n">
        <v>108</v>
      </c>
      <c r="H150" s="12" t="n">
        <v>4.8</v>
      </c>
      <c r="I150" s="12" t="n">
        <v>518.4</v>
      </c>
      <c r="J150" s="12" t="n">
        <v>221.4</v>
      </c>
      <c r="K150" s="12" t="n">
        <f aca="false">I150-J150</f>
        <v>297</v>
      </c>
    </row>
    <row r="151" customFormat="false" ht="15" hidden="false" customHeight="false" outlineLevel="0" collapsed="false">
      <c r="A151" s="11" t="n">
        <v>46060</v>
      </c>
      <c r="B151" s="5" t="s">
        <v>235</v>
      </c>
      <c r="C151" s="5" t="s">
        <v>56</v>
      </c>
      <c r="D151" s="5" t="s">
        <v>57</v>
      </c>
      <c r="E151" s="5" t="s">
        <v>75</v>
      </c>
      <c r="F151" s="5" t="s">
        <v>83</v>
      </c>
      <c r="G151" s="5" t="n">
        <v>302</v>
      </c>
      <c r="H151" s="12" t="n">
        <v>4.2</v>
      </c>
      <c r="I151" s="12" t="n">
        <v>1268.4</v>
      </c>
      <c r="J151" s="12" t="n">
        <v>558.7</v>
      </c>
      <c r="K151" s="12" t="n">
        <f aca="false">I151-J151</f>
        <v>709.7</v>
      </c>
    </row>
    <row r="152" customFormat="false" ht="15" hidden="false" customHeight="false" outlineLevel="0" collapsed="false">
      <c r="A152" s="11" t="n">
        <v>46060</v>
      </c>
      <c r="B152" s="5" t="s">
        <v>236</v>
      </c>
      <c r="C152" s="5" t="s">
        <v>63</v>
      </c>
      <c r="D152" s="5" t="s">
        <v>64</v>
      </c>
      <c r="E152" s="5" t="s">
        <v>65</v>
      </c>
      <c r="F152" s="5" t="s">
        <v>103</v>
      </c>
      <c r="G152" s="5" t="n">
        <v>310</v>
      </c>
      <c r="H152" s="12" t="n">
        <v>15.2</v>
      </c>
      <c r="I152" s="12" t="n">
        <v>4712</v>
      </c>
      <c r="J152" s="12" t="n">
        <v>2108</v>
      </c>
      <c r="K152" s="12" t="n">
        <f aca="false">I152-J152</f>
        <v>2604</v>
      </c>
    </row>
    <row r="153" customFormat="false" ht="15" hidden="false" customHeight="false" outlineLevel="0" collapsed="false">
      <c r="A153" s="11" t="n">
        <v>46060</v>
      </c>
      <c r="B153" s="5" t="s">
        <v>237</v>
      </c>
      <c r="C153" s="5" t="s">
        <v>85</v>
      </c>
      <c r="D153" s="5" t="s">
        <v>69</v>
      </c>
      <c r="E153" s="5" t="s">
        <v>65</v>
      </c>
      <c r="F153" s="5" t="s">
        <v>66</v>
      </c>
      <c r="G153" s="5" t="n">
        <v>34</v>
      </c>
      <c r="H153" s="12" t="n">
        <v>24.9</v>
      </c>
      <c r="I153" s="12" t="n">
        <v>846.6</v>
      </c>
      <c r="J153" s="12" t="n">
        <v>387.6</v>
      </c>
      <c r="K153" s="12" t="n">
        <f aca="false">I153-J153</f>
        <v>459</v>
      </c>
    </row>
    <row r="154" customFormat="false" ht="15" hidden="false" customHeight="false" outlineLevel="0" collapsed="false">
      <c r="A154" s="11" t="n">
        <v>46060</v>
      </c>
      <c r="B154" s="5" t="s">
        <v>238</v>
      </c>
      <c r="C154" s="5" t="s">
        <v>99</v>
      </c>
      <c r="D154" s="5" t="s">
        <v>69</v>
      </c>
      <c r="E154" s="5" t="s">
        <v>70</v>
      </c>
      <c r="F154" s="5" t="s">
        <v>90</v>
      </c>
      <c r="G154" s="5" t="n">
        <v>2653</v>
      </c>
      <c r="H154" s="12" t="n">
        <v>2.59</v>
      </c>
      <c r="I154" s="12" t="n">
        <v>6871.27</v>
      </c>
      <c r="J154" s="12" t="n">
        <v>3183.6</v>
      </c>
      <c r="K154" s="12" t="n">
        <f aca="false">I154-J154</f>
        <v>3687.67</v>
      </c>
    </row>
    <row r="155" customFormat="false" ht="15" hidden="false" customHeight="false" outlineLevel="0" collapsed="false">
      <c r="A155" s="11" t="n">
        <v>46060</v>
      </c>
      <c r="B155" s="5" t="s">
        <v>239</v>
      </c>
      <c r="C155" s="5" t="s">
        <v>87</v>
      </c>
      <c r="D155" s="5" t="s">
        <v>64</v>
      </c>
      <c r="E155" s="5" t="s">
        <v>70</v>
      </c>
      <c r="F155" s="5" t="s">
        <v>92</v>
      </c>
      <c r="G155" s="5" t="n">
        <v>1025</v>
      </c>
      <c r="H155" s="12" t="n">
        <v>2.4</v>
      </c>
      <c r="I155" s="12" t="n">
        <v>2460</v>
      </c>
      <c r="J155" s="12" t="n">
        <v>973.75</v>
      </c>
      <c r="K155" s="12" t="n">
        <f aca="false">I155-J155</f>
        <v>1486.25</v>
      </c>
    </row>
    <row r="156" customFormat="false" ht="15" hidden="false" customHeight="false" outlineLevel="0" collapsed="false">
      <c r="A156" s="11" t="n">
        <v>46060</v>
      </c>
      <c r="B156" s="5" t="s">
        <v>240</v>
      </c>
      <c r="C156" s="5" t="s">
        <v>85</v>
      </c>
      <c r="D156" s="5" t="s">
        <v>69</v>
      </c>
      <c r="E156" s="5" t="s">
        <v>70</v>
      </c>
      <c r="F156" s="5" t="s">
        <v>71</v>
      </c>
      <c r="G156" s="5" t="n">
        <v>302</v>
      </c>
      <c r="H156" s="12" t="n">
        <v>2.95</v>
      </c>
      <c r="I156" s="12" t="n">
        <v>890.9</v>
      </c>
      <c r="J156" s="12" t="n">
        <v>392.6</v>
      </c>
      <c r="K156" s="12" t="n">
        <f aca="false">I156-J156</f>
        <v>498.3</v>
      </c>
    </row>
    <row r="157" customFormat="false" ht="15" hidden="false" customHeight="false" outlineLevel="0" collapsed="false">
      <c r="A157" s="11" t="n">
        <v>46061</v>
      </c>
      <c r="B157" s="5" t="s">
        <v>241</v>
      </c>
      <c r="C157" s="5" t="s">
        <v>81</v>
      </c>
      <c r="D157" s="5" t="s">
        <v>64</v>
      </c>
      <c r="E157" s="5" t="s">
        <v>58</v>
      </c>
      <c r="F157" s="5" t="s">
        <v>59</v>
      </c>
      <c r="G157" s="5" t="n">
        <v>3093</v>
      </c>
      <c r="H157" s="12" t="n">
        <v>3.9</v>
      </c>
      <c r="I157" s="12" t="n">
        <v>12062.7</v>
      </c>
      <c r="J157" s="12" t="n">
        <v>5258.1</v>
      </c>
      <c r="K157" s="12" t="n">
        <f aca="false">I157-J157</f>
        <v>6804.6</v>
      </c>
    </row>
    <row r="158" customFormat="false" ht="15" hidden="false" customHeight="false" outlineLevel="0" collapsed="false">
      <c r="A158" s="11" t="n">
        <v>46061</v>
      </c>
      <c r="B158" s="5" t="s">
        <v>242</v>
      </c>
      <c r="C158" s="5" t="s">
        <v>115</v>
      </c>
      <c r="D158" s="5" t="s">
        <v>69</v>
      </c>
      <c r="E158" s="5" t="s">
        <v>58</v>
      </c>
      <c r="F158" s="5" t="s">
        <v>117</v>
      </c>
      <c r="G158" s="5" t="n">
        <v>2688</v>
      </c>
      <c r="H158" s="12" t="n">
        <v>3.4</v>
      </c>
      <c r="I158" s="12" t="n">
        <v>9139.2</v>
      </c>
      <c r="J158" s="12" t="n">
        <v>3897.6</v>
      </c>
      <c r="K158" s="12" t="n">
        <f aca="false">I158-J158</f>
        <v>5241.6</v>
      </c>
    </row>
    <row r="159" customFormat="false" ht="15" hidden="false" customHeight="false" outlineLevel="0" collapsed="false">
      <c r="A159" s="11" t="n">
        <v>46061</v>
      </c>
      <c r="B159" s="5" t="s">
        <v>243</v>
      </c>
      <c r="C159" s="5" t="s">
        <v>56</v>
      </c>
      <c r="D159" s="5" t="s">
        <v>57</v>
      </c>
      <c r="E159" s="5" t="s">
        <v>65</v>
      </c>
      <c r="F159" s="5" t="s">
        <v>88</v>
      </c>
      <c r="G159" s="5" t="n">
        <v>266</v>
      </c>
      <c r="H159" s="12" t="n">
        <v>11.5</v>
      </c>
      <c r="I159" s="12" t="n">
        <v>3059</v>
      </c>
      <c r="J159" s="12" t="n">
        <v>1356.6</v>
      </c>
      <c r="K159" s="12" t="n">
        <f aca="false">I159-J159</f>
        <v>1702.4</v>
      </c>
    </row>
    <row r="160" customFormat="false" ht="15" hidden="false" customHeight="false" outlineLevel="0" collapsed="false">
      <c r="A160" s="11" t="n">
        <v>46061</v>
      </c>
      <c r="B160" s="5" t="s">
        <v>244</v>
      </c>
      <c r="C160" s="5" t="s">
        <v>73</v>
      </c>
      <c r="D160" s="5" t="s">
        <v>64</v>
      </c>
      <c r="E160" s="5" t="s">
        <v>70</v>
      </c>
      <c r="F160" s="5" t="s">
        <v>90</v>
      </c>
      <c r="G160" s="5" t="n">
        <v>1331</v>
      </c>
      <c r="H160" s="12" t="n">
        <v>2.59</v>
      </c>
      <c r="I160" s="12" t="n">
        <v>3447.29</v>
      </c>
      <c r="J160" s="12" t="n">
        <v>1597.2</v>
      </c>
      <c r="K160" s="12" t="n">
        <f aca="false">I160-J160</f>
        <v>1850.09</v>
      </c>
    </row>
    <row r="161" customFormat="false" ht="15" hidden="false" customHeight="false" outlineLevel="0" collapsed="false">
      <c r="A161" s="11" t="n">
        <v>46061</v>
      </c>
      <c r="B161" s="5" t="s">
        <v>245</v>
      </c>
      <c r="C161" s="5" t="s">
        <v>87</v>
      </c>
      <c r="D161" s="5" t="s">
        <v>64</v>
      </c>
      <c r="E161" s="5" t="s">
        <v>70</v>
      </c>
      <c r="F161" s="5" t="s">
        <v>92</v>
      </c>
      <c r="G161" s="5" t="n">
        <v>1025</v>
      </c>
      <c r="H161" s="12" t="n">
        <v>2.4</v>
      </c>
      <c r="I161" s="12" t="n">
        <v>2460</v>
      </c>
      <c r="J161" s="12" t="n">
        <v>973.75</v>
      </c>
      <c r="K161" s="12" t="n">
        <f aca="false">I161-J161</f>
        <v>1486.25</v>
      </c>
    </row>
    <row r="162" customFormat="false" ht="15" hidden="false" customHeight="false" outlineLevel="0" collapsed="false">
      <c r="A162" s="11" t="n">
        <v>46062</v>
      </c>
      <c r="B162" s="5" t="s">
        <v>246</v>
      </c>
      <c r="C162" s="5" t="s">
        <v>87</v>
      </c>
      <c r="D162" s="5" t="s">
        <v>64</v>
      </c>
      <c r="E162" s="5" t="s">
        <v>58</v>
      </c>
      <c r="F162" s="5" t="s">
        <v>117</v>
      </c>
      <c r="G162" s="5" t="n">
        <v>2738</v>
      </c>
      <c r="H162" s="12" t="n">
        <v>3.4</v>
      </c>
      <c r="I162" s="12" t="n">
        <v>9309.2</v>
      </c>
      <c r="J162" s="12" t="n">
        <v>3970.1</v>
      </c>
      <c r="K162" s="12" t="n">
        <f aca="false">I162-J162</f>
        <v>5339.1</v>
      </c>
    </row>
    <row r="163" customFormat="false" ht="15" hidden="false" customHeight="false" outlineLevel="0" collapsed="false">
      <c r="A163" s="11" t="n">
        <v>46062</v>
      </c>
      <c r="B163" s="5" t="s">
        <v>247</v>
      </c>
      <c r="C163" s="5" t="s">
        <v>94</v>
      </c>
      <c r="D163" s="5" t="s">
        <v>95</v>
      </c>
      <c r="E163" s="5" t="s">
        <v>75</v>
      </c>
      <c r="F163" s="5" t="s">
        <v>83</v>
      </c>
      <c r="G163" s="5" t="n">
        <v>337</v>
      </c>
      <c r="H163" s="12" t="n">
        <v>4.2</v>
      </c>
      <c r="I163" s="12" t="n">
        <v>1415.4</v>
      </c>
      <c r="J163" s="12" t="n">
        <v>623.45</v>
      </c>
      <c r="K163" s="12" t="n">
        <f aca="false">I163-J163</f>
        <v>791.95</v>
      </c>
    </row>
    <row r="164" customFormat="false" ht="15" hidden="false" customHeight="false" outlineLevel="0" collapsed="false">
      <c r="A164" s="11" t="n">
        <v>46062</v>
      </c>
      <c r="B164" s="5" t="s">
        <v>248</v>
      </c>
      <c r="C164" s="5" t="s">
        <v>85</v>
      </c>
      <c r="D164" s="5" t="s">
        <v>69</v>
      </c>
      <c r="E164" s="5" t="s">
        <v>75</v>
      </c>
      <c r="F164" s="5" t="s">
        <v>76</v>
      </c>
      <c r="G164" s="5" t="n">
        <v>108</v>
      </c>
      <c r="H164" s="12" t="n">
        <v>4.8</v>
      </c>
      <c r="I164" s="12" t="n">
        <v>518.4</v>
      </c>
      <c r="J164" s="12" t="n">
        <v>221.4</v>
      </c>
      <c r="K164" s="12" t="n">
        <f aca="false">I164-J164</f>
        <v>297</v>
      </c>
    </row>
    <row r="165" customFormat="false" ht="15" hidden="false" customHeight="false" outlineLevel="0" collapsed="false">
      <c r="A165" s="11" t="n">
        <v>46062</v>
      </c>
      <c r="B165" s="5" t="s">
        <v>249</v>
      </c>
      <c r="C165" s="5" t="s">
        <v>81</v>
      </c>
      <c r="D165" s="5" t="s">
        <v>64</v>
      </c>
      <c r="E165" s="5" t="s">
        <v>65</v>
      </c>
      <c r="F165" s="5" t="s">
        <v>88</v>
      </c>
      <c r="G165" s="5" t="n">
        <v>451</v>
      </c>
      <c r="H165" s="12" t="n">
        <v>11.5</v>
      </c>
      <c r="I165" s="12" t="n">
        <v>5186.5</v>
      </c>
      <c r="J165" s="12" t="n">
        <v>2300.1</v>
      </c>
      <c r="K165" s="12" t="n">
        <f aca="false">I165-J165</f>
        <v>2886.4</v>
      </c>
    </row>
    <row r="166" customFormat="false" ht="15" hidden="false" customHeight="false" outlineLevel="0" collapsed="false">
      <c r="A166" s="11" t="n">
        <v>46062</v>
      </c>
      <c r="B166" s="5" t="s">
        <v>250</v>
      </c>
      <c r="C166" s="5" t="s">
        <v>73</v>
      </c>
      <c r="D166" s="5" t="s">
        <v>64</v>
      </c>
      <c r="E166" s="5" t="s">
        <v>65</v>
      </c>
      <c r="F166" s="5" t="s">
        <v>66</v>
      </c>
      <c r="G166" s="5" t="n">
        <v>247</v>
      </c>
      <c r="H166" s="12" t="n">
        <v>23.9</v>
      </c>
      <c r="I166" s="12" t="n">
        <v>5903.3</v>
      </c>
      <c r="J166" s="12" t="n">
        <v>2815.8</v>
      </c>
      <c r="K166" s="12" t="n">
        <f aca="false">I166-J166</f>
        <v>3087.5</v>
      </c>
    </row>
    <row r="167" customFormat="false" ht="15" hidden="false" customHeight="false" outlineLevel="0" collapsed="false">
      <c r="A167" s="11" t="n">
        <v>46062</v>
      </c>
      <c r="B167" s="5" t="s">
        <v>251</v>
      </c>
      <c r="C167" s="5" t="s">
        <v>81</v>
      </c>
      <c r="D167" s="5" t="s">
        <v>64</v>
      </c>
      <c r="E167" s="5" t="s">
        <v>70</v>
      </c>
      <c r="F167" s="5" t="s">
        <v>92</v>
      </c>
      <c r="G167" s="5" t="n">
        <v>2431</v>
      </c>
      <c r="H167" s="12" t="n">
        <v>2.4</v>
      </c>
      <c r="I167" s="12" t="n">
        <v>5834.4</v>
      </c>
      <c r="J167" s="12" t="n">
        <v>2309.45</v>
      </c>
      <c r="K167" s="12" t="n">
        <f aca="false">I167-J167</f>
        <v>3524.95</v>
      </c>
    </row>
    <row r="168" customFormat="false" ht="15" hidden="false" customHeight="false" outlineLevel="0" collapsed="false">
      <c r="A168" s="11" t="n">
        <v>46063</v>
      </c>
      <c r="B168" s="5" t="s">
        <v>252</v>
      </c>
      <c r="C168" s="5" t="s">
        <v>81</v>
      </c>
      <c r="D168" s="5" t="s">
        <v>64</v>
      </c>
      <c r="E168" s="5" t="s">
        <v>58</v>
      </c>
      <c r="F168" s="5" t="s">
        <v>61</v>
      </c>
      <c r="G168" s="5" t="n">
        <v>492</v>
      </c>
      <c r="H168" s="12" t="n">
        <v>24.5</v>
      </c>
      <c r="I168" s="12" t="n">
        <v>12054</v>
      </c>
      <c r="J168" s="12" t="n">
        <v>5805.6</v>
      </c>
      <c r="K168" s="12" t="n">
        <f aca="false">I168-J168</f>
        <v>6248.4</v>
      </c>
    </row>
    <row r="169" customFormat="false" ht="15" hidden="false" customHeight="false" outlineLevel="0" collapsed="false">
      <c r="A169" s="11" t="n">
        <v>46063</v>
      </c>
      <c r="B169" s="5" t="s">
        <v>253</v>
      </c>
      <c r="C169" s="5" t="s">
        <v>81</v>
      </c>
      <c r="D169" s="5" t="s">
        <v>64</v>
      </c>
      <c r="E169" s="5" t="s">
        <v>75</v>
      </c>
      <c r="F169" s="5" t="s">
        <v>83</v>
      </c>
      <c r="G169" s="5" t="n">
        <v>407</v>
      </c>
      <c r="H169" s="12" t="n">
        <v>4.2</v>
      </c>
      <c r="I169" s="12" t="n">
        <v>1709.4</v>
      </c>
      <c r="J169" s="12" t="n">
        <v>752.95</v>
      </c>
      <c r="K169" s="12" t="n">
        <f aca="false">I169-J169</f>
        <v>956.45</v>
      </c>
    </row>
    <row r="170" customFormat="false" ht="15" hidden="false" customHeight="false" outlineLevel="0" collapsed="false">
      <c r="A170" s="11" t="n">
        <v>46063</v>
      </c>
      <c r="B170" s="5" t="s">
        <v>254</v>
      </c>
      <c r="C170" s="5" t="s">
        <v>63</v>
      </c>
      <c r="D170" s="5" t="s">
        <v>64</v>
      </c>
      <c r="E170" s="5" t="s">
        <v>65</v>
      </c>
      <c r="F170" s="5" t="s">
        <v>88</v>
      </c>
      <c r="G170" s="5" t="n">
        <v>409</v>
      </c>
      <c r="H170" s="12" t="n">
        <v>11.5</v>
      </c>
      <c r="I170" s="12" t="n">
        <v>4703.5</v>
      </c>
      <c r="J170" s="12" t="n">
        <v>2085.9</v>
      </c>
      <c r="K170" s="12" t="n">
        <f aca="false">I170-J170</f>
        <v>2617.6</v>
      </c>
    </row>
    <row r="171" customFormat="false" ht="15" hidden="false" customHeight="false" outlineLevel="0" collapsed="false">
      <c r="A171" s="11" t="n">
        <v>46063</v>
      </c>
      <c r="B171" s="5" t="s">
        <v>255</v>
      </c>
      <c r="C171" s="5" t="s">
        <v>87</v>
      </c>
      <c r="D171" s="5" t="s">
        <v>64</v>
      </c>
      <c r="E171" s="5" t="s">
        <v>65</v>
      </c>
      <c r="F171" s="5" t="s">
        <v>66</v>
      </c>
      <c r="G171" s="5" t="n">
        <v>220</v>
      </c>
      <c r="H171" s="12" t="n">
        <v>24.9</v>
      </c>
      <c r="I171" s="12" t="n">
        <v>5478</v>
      </c>
      <c r="J171" s="12" t="n">
        <v>2508</v>
      </c>
      <c r="K171" s="12" t="n">
        <f aca="false">I171-J171</f>
        <v>2970</v>
      </c>
    </row>
    <row r="172" customFormat="false" ht="15" hidden="false" customHeight="false" outlineLevel="0" collapsed="false">
      <c r="A172" s="11" t="n">
        <v>46063</v>
      </c>
      <c r="B172" s="5" t="s">
        <v>256</v>
      </c>
      <c r="C172" s="5" t="s">
        <v>56</v>
      </c>
      <c r="D172" s="5" t="s">
        <v>57</v>
      </c>
      <c r="E172" s="5" t="s">
        <v>70</v>
      </c>
      <c r="F172" s="5" t="s">
        <v>90</v>
      </c>
      <c r="G172" s="5" t="n">
        <v>1831</v>
      </c>
      <c r="H172" s="12" t="n">
        <v>2.7</v>
      </c>
      <c r="I172" s="12" t="n">
        <v>4943.7</v>
      </c>
      <c r="J172" s="12" t="n">
        <v>2197.2</v>
      </c>
      <c r="K172" s="12" t="n">
        <f aca="false">I172-J172</f>
        <v>2746.5</v>
      </c>
    </row>
    <row r="173" customFormat="false" ht="15" hidden="false" customHeight="false" outlineLevel="0" collapsed="false">
      <c r="A173" s="11" t="n">
        <v>46064</v>
      </c>
      <c r="B173" s="5" t="s">
        <v>257</v>
      </c>
      <c r="C173" s="5" t="s">
        <v>94</v>
      </c>
      <c r="D173" s="5" t="s">
        <v>95</v>
      </c>
      <c r="E173" s="5" t="s">
        <v>75</v>
      </c>
      <c r="F173" s="5" t="s">
        <v>76</v>
      </c>
      <c r="G173" s="5" t="n">
        <v>294</v>
      </c>
      <c r="H173" s="12" t="n">
        <v>4.8</v>
      </c>
      <c r="I173" s="12" t="n">
        <v>1411.2</v>
      </c>
      <c r="J173" s="12" t="n">
        <v>602.7</v>
      </c>
      <c r="K173" s="12" t="n">
        <f aca="false">I173-J173</f>
        <v>808.5</v>
      </c>
    </row>
    <row r="174" customFormat="false" ht="15" hidden="false" customHeight="false" outlineLevel="0" collapsed="false">
      <c r="A174" s="11" t="n">
        <v>46065</v>
      </c>
      <c r="B174" s="5" t="s">
        <v>258</v>
      </c>
      <c r="C174" s="5" t="s">
        <v>99</v>
      </c>
      <c r="D174" s="5" t="s">
        <v>69</v>
      </c>
      <c r="E174" s="5" t="s">
        <v>58</v>
      </c>
      <c r="F174" s="5" t="s">
        <v>61</v>
      </c>
      <c r="G174" s="5" t="n">
        <v>421</v>
      </c>
      <c r="H174" s="12" t="n">
        <v>23.52</v>
      </c>
      <c r="I174" s="12" t="n">
        <v>9901.92</v>
      </c>
      <c r="J174" s="12" t="n">
        <v>4967.8</v>
      </c>
      <c r="K174" s="12" t="n">
        <f aca="false">I174-J174</f>
        <v>4934.12</v>
      </c>
    </row>
    <row r="175" customFormat="false" ht="15" hidden="false" customHeight="false" outlineLevel="0" collapsed="false">
      <c r="A175" s="11" t="n">
        <v>46065</v>
      </c>
      <c r="B175" s="5" t="s">
        <v>259</v>
      </c>
      <c r="C175" s="5" t="s">
        <v>85</v>
      </c>
      <c r="D175" s="5" t="s">
        <v>69</v>
      </c>
      <c r="E175" s="5" t="s">
        <v>58</v>
      </c>
      <c r="F175" s="5" t="s">
        <v>96</v>
      </c>
      <c r="G175" s="5" t="n">
        <v>1599</v>
      </c>
      <c r="H175" s="12" t="n">
        <v>2.1</v>
      </c>
      <c r="I175" s="12" t="n">
        <v>3357.9</v>
      </c>
      <c r="J175" s="12" t="n">
        <v>1471.08</v>
      </c>
      <c r="K175" s="12" t="n">
        <f aca="false">I175-J175</f>
        <v>1886.82</v>
      </c>
    </row>
    <row r="176" customFormat="false" ht="15" hidden="false" customHeight="false" outlineLevel="0" collapsed="false">
      <c r="A176" s="11" t="n">
        <v>46065</v>
      </c>
      <c r="B176" s="5" t="s">
        <v>260</v>
      </c>
      <c r="C176" s="5" t="s">
        <v>99</v>
      </c>
      <c r="D176" s="5" t="s">
        <v>69</v>
      </c>
      <c r="E176" s="5" t="s">
        <v>75</v>
      </c>
      <c r="F176" s="5" t="s">
        <v>78</v>
      </c>
      <c r="G176" s="5" t="n">
        <v>308</v>
      </c>
      <c r="H176" s="12" t="n">
        <v>5.86</v>
      </c>
      <c r="I176" s="12" t="n">
        <v>1804.88</v>
      </c>
      <c r="J176" s="12" t="n">
        <v>800.8</v>
      </c>
      <c r="K176" s="12" t="n">
        <f aca="false">I176-J176</f>
        <v>1004.08</v>
      </c>
    </row>
    <row r="177" customFormat="false" ht="15" hidden="false" customHeight="false" outlineLevel="0" collapsed="false">
      <c r="A177" s="11" t="n">
        <v>46065</v>
      </c>
      <c r="B177" s="5" t="s">
        <v>261</v>
      </c>
      <c r="C177" s="5" t="s">
        <v>99</v>
      </c>
      <c r="D177" s="5" t="s">
        <v>69</v>
      </c>
      <c r="E177" s="5" t="s">
        <v>75</v>
      </c>
      <c r="F177" s="5" t="s">
        <v>83</v>
      </c>
      <c r="G177" s="5" t="n">
        <v>448</v>
      </c>
      <c r="H177" s="12" t="n">
        <v>4.03</v>
      </c>
      <c r="I177" s="12" t="n">
        <v>1805.44</v>
      </c>
      <c r="J177" s="12" t="n">
        <v>828.8</v>
      </c>
      <c r="K177" s="12" t="n">
        <f aca="false">I177-J177</f>
        <v>976.64</v>
      </c>
    </row>
    <row r="178" customFormat="false" ht="15" hidden="false" customHeight="false" outlineLevel="0" collapsed="false">
      <c r="A178" s="11" t="n">
        <v>46065</v>
      </c>
      <c r="B178" s="5" t="s">
        <v>262</v>
      </c>
      <c r="C178" s="5" t="s">
        <v>115</v>
      </c>
      <c r="D178" s="5" t="s">
        <v>69</v>
      </c>
      <c r="E178" s="5" t="s">
        <v>75</v>
      </c>
      <c r="F178" s="5" t="s">
        <v>83</v>
      </c>
      <c r="G178" s="5" t="n">
        <v>160</v>
      </c>
      <c r="H178" s="12" t="n">
        <v>4.2</v>
      </c>
      <c r="I178" s="12" t="n">
        <v>672</v>
      </c>
      <c r="J178" s="12" t="n">
        <v>296</v>
      </c>
      <c r="K178" s="12" t="n">
        <f aca="false">I178-J178</f>
        <v>376</v>
      </c>
    </row>
    <row r="179" customFormat="false" ht="15" hidden="false" customHeight="false" outlineLevel="0" collapsed="false">
      <c r="A179" s="11" t="n">
        <v>46065</v>
      </c>
      <c r="B179" s="5" t="s">
        <v>263</v>
      </c>
      <c r="C179" s="5" t="s">
        <v>115</v>
      </c>
      <c r="D179" s="5" t="s">
        <v>69</v>
      </c>
      <c r="E179" s="5" t="s">
        <v>75</v>
      </c>
      <c r="F179" s="5" t="s">
        <v>78</v>
      </c>
      <c r="G179" s="5" t="n">
        <v>110</v>
      </c>
      <c r="H179" s="12" t="n">
        <v>6.1</v>
      </c>
      <c r="I179" s="12" t="n">
        <v>671</v>
      </c>
      <c r="J179" s="12" t="n">
        <v>286</v>
      </c>
      <c r="K179" s="12" t="n">
        <f aca="false">I179-J179</f>
        <v>385</v>
      </c>
    </row>
    <row r="180" customFormat="false" ht="15" hidden="false" customHeight="false" outlineLevel="0" collapsed="false">
      <c r="A180" s="11" t="n">
        <v>46065</v>
      </c>
      <c r="B180" s="5" t="s">
        <v>264</v>
      </c>
      <c r="C180" s="5" t="s">
        <v>99</v>
      </c>
      <c r="D180" s="5" t="s">
        <v>69</v>
      </c>
      <c r="E180" s="5" t="s">
        <v>65</v>
      </c>
      <c r="F180" s="5" t="s">
        <v>66</v>
      </c>
      <c r="G180" s="5" t="n">
        <v>150</v>
      </c>
      <c r="H180" s="12" t="n">
        <v>23.9</v>
      </c>
      <c r="I180" s="12" t="n">
        <v>3585</v>
      </c>
      <c r="J180" s="12" t="n">
        <v>1710</v>
      </c>
      <c r="K180" s="12" t="n">
        <f aca="false">I180-J180</f>
        <v>1875</v>
      </c>
    </row>
    <row r="181" customFormat="false" ht="15" hidden="false" customHeight="false" outlineLevel="0" collapsed="false">
      <c r="A181" s="11" t="n">
        <v>46065</v>
      </c>
      <c r="B181" s="5" t="s">
        <v>265</v>
      </c>
      <c r="C181" s="5" t="s">
        <v>85</v>
      </c>
      <c r="D181" s="5" t="s">
        <v>69</v>
      </c>
      <c r="E181" s="5" t="s">
        <v>65</v>
      </c>
      <c r="F181" s="5" t="s">
        <v>66</v>
      </c>
      <c r="G181" s="5" t="n">
        <v>34</v>
      </c>
      <c r="H181" s="12" t="n">
        <v>24.9</v>
      </c>
      <c r="I181" s="12" t="n">
        <v>846.6</v>
      </c>
      <c r="J181" s="12" t="n">
        <v>387.6</v>
      </c>
      <c r="K181" s="12" t="n">
        <f aca="false">I181-J181</f>
        <v>459</v>
      </c>
    </row>
    <row r="182" customFormat="false" ht="15" hidden="false" customHeight="false" outlineLevel="0" collapsed="false">
      <c r="A182" s="11" t="n">
        <v>46066</v>
      </c>
      <c r="B182" s="5" t="s">
        <v>266</v>
      </c>
      <c r="C182" s="5" t="s">
        <v>63</v>
      </c>
      <c r="D182" s="5" t="s">
        <v>64</v>
      </c>
      <c r="E182" s="5" t="s">
        <v>58</v>
      </c>
      <c r="F182" s="5" t="s">
        <v>59</v>
      </c>
      <c r="G182" s="5" t="n">
        <v>2999</v>
      </c>
      <c r="H182" s="12" t="n">
        <v>3.9</v>
      </c>
      <c r="I182" s="12" t="n">
        <v>11696.1</v>
      </c>
      <c r="J182" s="12" t="n">
        <v>5098.3</v>
      </c>
      <c r="K182" s="12" t="n">
        <f aca="false">I182-J182</f>
        <v>6597.8</v>
      </c>
    </row>
    <row r="183" customFormat="false" ht="15" hidden="false" customHeight="false" outlineLevel="0" collapsed="false">
      <c r="A183" s="11" t="n">
        <v>46066</v>
      </c>
      <c r="B183" s="5" t="s">
        <v>267</v>
      </c>
      <c r="C183" s="5" t="s">
        <v>68</v>
      </c>
      <c r="D183" s="5" t="s">
        <v>69</v>
      </c>
      <c r="E183" s="5" t="s">
        <v>58</v>
      </c>
      <c r="F183" s="5" t="s">
        <v>61</v>
      </c>
      <c r="G183" s="5" t="n">
        <v>187</v>
      </c>
      <c r="H183" s="12" t="n">
        <v>24.5</v>
      </c>
      <c r="I183" s="12" t="n">
        <v>4581.5</v>
      </c>
      <c r="J183" s="12" t="n">
        <v>2206.6</v>
      </c>
      <c r="K183" s="12" t="n">
        <f aca="false">I183-J183</f>
        <v>2374.9</v>
      </c>
    </row>
    <row r="184" customFormat="false" ht="15" hidden="false" customHeight="false" outlineLevel="0" collapsed="false">
      <c r="A184" s="11" t="n">
        <v>46066</v>
      </c>
      <c r="B184" s="5" t="s">
        <v>268</v>
      </c>
      <c r="C184" s="5" t="s">
        <v>56</v>
      </c>
      <c r="D184" s="5" t="s">
        <v>57</v>
      </c>
      <c r="E184" s="5" t="s">
        <v>58</v>
      </c>
      <c r="F184" s="5" t="s">
        <v>96</v>
      </c>
      <c r="G184" s="5" t="n">
        <v>3876</v>
      </c>
      <c r="H184" s="12" t="n">
        <v>2.1</v>
      </c>
      <c r="I184" s="12" t="n">
        <v>8139.6</v>
      </c>
      <c r="J184" s="12" t="n">
        <v>3565.92</v>
      </c>
      <c r="K184" s="12" t="n">
        <f aca="false">I184-J184</f>
        <v>4573.68</v>
      </c>
    </row>
    <row r="185" customFormat="false" ht="15" hidden="false" customHeight="false" outlineLevel="0" collapsed="false">
      <c r="A185" s="11" t="n">
        <v>46066</v>
      </c>
      <c r="B185" s="5" t="s">
        <v>269</v>
      </c>
      <c r="C185" s="5" t="s">
        <v>68</v>
      </c>
      <c r="D185" s="5" t="s">
        <v>69</v>
      </c>
      <c r="E185" s="5" t="s">
        <v>75</v>
      </c>
      <c r="F185" s="5" t="s">
        <v>76</v>
      </c>
      <c r="G185" s="5" t="n">
        <v>131</v>
      </c>
      <c r="H185" s="12" t="n">
        <v>4.8</v>
      </c>
      <c r="I185" s="12" t="n">
        <v>628.8</v>
      </c>
      <c r="J185" s="12" t="n">
        <v>268.55</v>
      </c>
      <c r="K185" s="12" t="n">
        <f aca="false">I185-J185</f>
        <v>360.25</v>
      </c>
    </row>
    <row r="186" customFormat="false" ht="15" hidden="false" customHeight="false" outlineLevel="0" collapsed="false">
      <c r="A186" s="11" t="n">
        <v>46066</v>
      </c>
      <c r="B186" s="5" t="s">
        <v>270</v>
      </c>
      <c r="C186" s="5" t="s">
        <v>115</v>
      </c>
      <c r="D186" s="5" t="s">
        <v>69</v>
      </c>
      <c r="E186" s="5" t="s">
        <v>65</v>
      </c>
      <c r="F186" s="5" t="s">
        <v>88</v>
      </c>
      <c r="G186" s="5" t="n">
        <v>179</v>
      </c>
      <c r="H186" s="12" t="n">
        <v>11.5</v>
      </c>
      <c r="I186" s="12" t="n">
        <v>2058.5</v>
      </c>
      <c r="J186" s="12" t="n">
        <v>912.9</v>
      </c>
      <c r="K186" s="12" t="n">
        <f aca="false">I186-J186</f>
        <v>1145.6</v>
      </c>
    </row>
    <row r="187" customFormat="false" ht="15" hidden="false" customHeight="false" outlineLevel="0" collapsed="false">
      <c r="A187" s="11" t="n">
        <v>46066</v>
      </c>
      <c r="B187" s="5" t="s">
        <v>271</v>
      </c>
      <c r="C187" s="5" t="s">
        <v>73</v>
      </c>
      <c r="D187" s="5" t="s">
        <v>64</v>
      </c>
      <c r="E187" s="5" t="s">
        <v>70</v>
      </c>
      <c r="F187" s="5" t="s">
        <v>71</v>
      </c>
      <c r="G187" s="5" t="n">
        <v>1218</v>
      </c>
      <c r="H187" s="12" t="n">
        <v>2.83</v>
      </c>
      <c r="I187" s="12" t="n">
        <v>3446.94</v>
      </c>
      <c r="J187" s="12" t="n">
        <v>1583.4</v>
      </c>
      <c r="K187" s="12" t="n">
        <f aca="false">I187-J187</f>
        <v>1863.54</v>
      </c>
    </row>
    <row r="188" customFormat="false" ht="15" hidden="false" customHeight="false" outlineLevel="0" collapsed="false">
      <c r="A188" s="11" t="n">
        <v>46066</v>
      </c>
      <c r="B188" s="5" t="s">
        <v>272</v>
      </c>
      <c r="C188" s="5" t="s">
        <v>115</v>
      </c>
      <c r="D188" s="5" t="s">
        <v>69</v>
      </c>
      <c r="E188" s="5" t="s">
        <v>70</v>
      </c>
      <c r="F188" s="5" t="s">
        <v>92</v>
      </c>
      <c r="G188" s="5" t="n">
        <v>846</v>
      </c>
      <c r="H188" s="12" t="n">
        <v>2.4</v>
      </c>
      <c r="I188" s="12" t="n">
        <v>2030.4</v>
      </c>
      <c r="J188" s="12" t="n">
        <v>803.7</v>
      </c>
      <c r="K188" s="12" t="n">
        <f aca="false">I188-J188</f>
        <v>1226.7</v>
      </c>
    </row>
    <row r="189" customFormat="false" ht="15" hidden="false" customHeight="false" outlineLevel="0" collapsed="false">
      <c r="A189" s="11" t="n">
        <v>46067</v>
      </c>
      <c r="B189" s="5" t="s">
        <v>273</v>
      </c>
      <c r="C189" s="5" t="s">
        <v>81</v>
      </c>
      <c r="D189" s="5" t="s">
        <v>64</v>
      </c>
      <c r="E189" s="5" t="s">
        <v>75</v>
      </c>
      <c r="F189" s="5" t="s">
        <v>83</v>
      </c>
      <c r="G189" s="5" t="n">
        <v>407</v>
      </c>
      <c r="H189" s="12" t="n">
        <v>4.2</v>
      </c>
      <c r="I189" s="12" t="n">
        <v>1709.4</v>
      </c>
      <c r="J189" s="12" t="n">
        <v>752.95</v>
      </c>
      <c r="K189" s="12" t="n">
        <f aca="false">I189-J189</f>
        <v>956.45</v>
      </c>
    </row>
    <row r="190" customFormat="false" ht="15" hidden="false" customHeight="false" outlineLevel="0" collapsed="false">
      <c r="A190" s="11" t="n">
        <v>46067</v>
      </c>
      <c r="B190" s="5" t="s">
        <v>274</v>
      </c>
      <c r="C190" s="5" t="s">
        <v>63</v>
      </c>
      <c r="D190" s="5" t="s">
        <v>64</v>
      </c>
      <c r="E190" s="5" t="s">
        <v>75</v>
      </c>
      <c r="F190" s="5" t="s">
        <v>83</v>
      </c>
      <c r="G190" s="5" t="n">
        <v>397</v>
      </c>
      <c r="H190" s="12" t="n">
        <v>4.2</v>
      </c>
      <c r="I190" s="12" t="n">
        <v>1667.4</v>
      </c>
      <c r="J190" s="12" t="n">
        <v>734.45</v>
      </c>
      <c r="K190" s="12" t="n">
        <f aca="false">I190-J190</f>
        <v>932.95</v>
      </c>
    </row>
    <row r="191" customFormat="false" ht="15" hidden="false" customHeight="false" outlineLevel="0" collapsed="false">
      <c r="A191" s="11" t="n">
        <v>46067</v>
      </c>
      <c r="B191" s="5" t="s">
        <v>275</v>
      </c>
      <c r="C191" s="5" t="s">
        <v>68</v>
      </c>
      <c r="D191" s="5" t="s">
        <v>69</v>
      </c>
      <c r="E191" s="5" t="s">
        <v>65</v>
      </c>
      <c r="F191" s="5" t="s">
        <v>88</v>
      </c>
      <c r="G191" s="5" t="n">
        <v>164</v>
      </c>
      <c r="H191" s="12" t="n">
        <v>11.5</v>
      </c>
      <c r="I191" s="12" t="n">
        <v>1886</v>
      </c>
      <c r="J191" s="12" t="n">
        <v>836.4</v>
      </c>
      <c r="K191" s="12" t="n">
        <f aca="false">I191-J191</f>
        <v>1049.6</v>
      </c>
    </row>
    <row r="192" customFormat="false" ht="15" hidden="false" customHeight="false" outlineLevel="0" collapsed="false">
      <c r="A192" s="11" t="n">
        <v>46067</v>
      </c>
      <c r="B192" s="5" t="s">
        <v>276</v>
      </c>
      <c r="C192" s="5" t="s">
        <v>56</v>
      </c>
      <c r="D192" s="5" t="s">
        <v>57</v>
      </c>
      <c r="E192" s="5" t="s">
        <v>65</v>
      </c>
      <c r="F192" s="5" t="s">
        <v>66</v>
      </c>
      <c r="G192" s="5" t="n">
        <v>123</v>
      </c>
      <c r="H192" s="12" t="n">
        <v>24.9</v>
      </c>
      <c r="I192" s="12" t="n">
        <v>3062.7</v>
      </c>
      <c r="J192" s="12" t="n">
        <v>1402.2</v>
      </c>
      <c r="K192" s="12" t="n">
        <f aca="false">I192-J192</f>
        <v>1660.5</v>
      </c>
    </row>
    <row r="193" customFormat="false" ht="15" hidden="false" customHeight="false" outlineLevel="0" collapsed="false">
      <c r="A193" s="11" t="n">
        <v>46068</v>
      </c>
      <c r="B193" s="5" t="s">
        <v>277</v>
      </c>
      <c r="C193" s="5" t="s">
        <v>68</v>
      </c>
      <c r="D193" s="5" t="s">
        <v>69</v>
      </c>
      <c r="E193" s="5" t="s">
        <v>58</v>
      </c>
      <c r="F193" s="5" t="s">
        <v>61</v>
      </c>
      <c r="G193" s="5" t="n">
        <v>187</v>
      </c>
      <c r="H193" s="12" t="n">
        <v>24.5</v>
      </c>
      <c r="I193" s="12" t="n">
        <v>4581.5</v>
      </c>
      <c r="J193" s="12" t="n">
        <v>2206.6</v>
      </c>
      <c r="K193" s="12" t="n">
        <f aca="false">I193-J193</f>
        <v>2374.9</v>
      </c>
    </row>
    <row r="194" customFormat="false" ht="15" hidden="false" customHeight="false" outlineLevel="0" collapsed="false">
      <c r="A194" s="11" t="n">
        <v>46068</v>
      </c>
      <c r="B194" s="5" t="s">
        <v>278</v>
      </c>
      <c r="C194" s="5" t="s">
        <v>63</v>
      </c>
      <c r="D194" s="5" t="s">
        <v>64</v>
      </c>
      <c r="E194" s="5" t="s">
        <v>75</v>
      </c>
      <c r="F194" s="5" t="s">
        <v>76</v>
      </c>
      <c r="G194" s="5" t="n">
        <v>348</v>
      </c>
      <c r="H194" s="12" t="n">
        <v>4.8</v>
      </c>
      <c r="I194" s="12" t="n">
        <v>1670.4</v>
      </c>
      <c r="J194" s="12" t="n">
        <v>713.4</v>
      </c>
      <c r="K194" s="12" t="n">
        <f aca="false">I194-J194</f>
        <v>957</v>
      </c>
    </row>
    <row r="195" customFormat="false" ht="15" hidden="false" customHeight="false" outlineLevel="0" collapsed="false">
      <c r="A195" s="11" t="n">
        <v>46068</v>
      </c>
      <c r="B195" s="5" t="s">
        <v>279</v>
      </c>
      <c r="C195" s="5" t="s">
        <v>115</v>
      </c>
      <c r="D195" s="5" t="s">
        <v>69</v>
      </c>
      <c r="E195" s="5" t="s">
        <v>70</v>
      </c>
      <c r="F195" s="5" t="s">
        <v>92</v>
      </c>
      <c r="G195" s="5" t="n">
        <v>846</v>
      </c>
      <c r="H195" s="12" t="n">
        <v>2.4</v>
      </c>
      <c r="I195" s="12" t="n">
        <v>2030.4</v>
      </c>
      <c r="J195" s="12" t="n">
        <v>803.7</v>
      </c>
      <c r="K195" s="12" t="n">
        <f aca="false">I195-J195</f>
        <v>1226.7</v>
      </c>
    </row>
    <row r="196" customFormat="false" ht="15" hidden="false" customHeight="false" outlineLevel="0" collapsed="false">
      <c r="A196" s="11" t="n">
        <v>46069</v>
      </c>
      <c r="B196" s="5" t="s">
        <v>280</v>
      </c>
      <c r="C196" s="5" t="s">
        <v>81</v>
      </c>
      <c r="D196" s="5" t="s">
        <v>64</v>
      </c>
      <c r="E196" s="5" t="s">
        <v>58</v>
      </c>
      <c r="F196" s="5" t="s">
        <v>61</v>
      </c>
      <c r="G196" s="5" t="n">
        <v>492</v>
      </c>
      <c r="H196" s="12" t="n">
        <v>24.5</v>
      </c>
      <c r="I196" s="12" t="n">
        <v>12054</v>
      </c>
      <c r="J196" s="12" t="n">
        <v>5805.6</v>
      </c>
      <c r="K196" s="12" t="n">
        <f aca="false">I196-J196</f>
        <v>6248.4</v>
      </c>
    </row>
    <row r="197" customFormat="false" ht="15" hidden="false" customHeight="false" outlineLevel="0" collapsed="false">
      <c r="A197" s="11" t="n">
        <v>46069</v>
      </c>
      <c r="B197" s="5" t="s">
        <v>281</v>
      </c>
      <c r="C197" s="5" t="s">
        <v>99</v>
      </c>
      <c r="D197" s="5" t="s">
        <v>69</v>
      </c>
      <c r="E197" s="5" t="s">
        <v>65</v>
      </c>
      <c r="F197" s="5" t="s">
        <v>103</v>
      </c>
      <c r="G197" s="5" t="n">
        <v>246</v>
      </c>
      <c r="H197" s="12" t="n">
        <v>14.59</v>
      </c>
      <c r="I197" s="12" t="n">
        <v>3589.14</v>
      </c>
      <c r="J197" s="12" t="n">
        <v>1672.8</v>
      </c>
      <c r="K197" s="12" t="n">
        <f aca="false">I197-J197</f>
        <v>1916.34</v>
      </c>
    </row>
    <row r="198" customFormat="false" ht="15" hidden="false" customHeight="false" outlineLevel="0" collapsed="false">
      <c r="A198" s="11" t="n">
        <v>46069</v>
      </c>
      <c r="B198" s="5" t="s">
        <v>282</v>
      </c>
      <c r="C198" s="5" t="s">
        <v>81</v>
      </c>
      <c r="D198" s="5" t="s">
        <v>64</v>
      </c>
      <c r="E198" s="5" t="s">
        <v>70</v>
      </c>
      <c r="F198" s="5" t="s">
        <v>71</v>
      </c>
      <c r="G198" s="5" t="n">
        <v>1978</v>
      </c>
      <c r="H198" s="12" t="n">
        <v>2.95</v>
      </c>
      <c r="I198" s="12" t="n">
        <v>5835.1</v>
      </c>
      <c r="J198" s="12" t="n">
        <v>2571.4</v>
      </c>
      <c r="K198" s="12" t="n">
        <f aca="false">I198-J198</f>
        <v>3263.7</v>
      </c>
    </row>
    <row r="199" customFormat="false" ht="15" hidden="false" customHeight="false" outlineLevel="0" collapsed="false">
      <c r="A199" s="11" t="n">
        <v>46069</v>
      </c>
      <c r="B199" s="5" t="s">
        <v>283</v>
      </c>
      <c r="C199" s="5" t="s">
        <v>115</v>
      </c>
      <c r="D199" s="5" t="s">
        <v>69</v>
      </c>
      <c r="E199" s="5" t="s">
        <v>70</v>
      </c>
      <c r="F199" s="5" t="s">
        <v>71</v>
      </c>
      <c r="G199" s="5" t="n">
        <v>688</v>
      </c>
      <c r="H199" s="12" t="n">
        <v>2.95</v>
      </c>
      <c r="I199" s="12" t="n">
        <v>2029.6</v>
      </c>
      <c r="J199" s="12" t="n">
        <v>894.4</v>
      </c>
      <c r="K199" s="12" t="n">
        <f aca="false">I199-J199</f>
        <v>1135.2</v>
      </c>
    </row>
    <row r="200" customFormat="false" ht="15" hidden="false" customHeight="false" outlineLevel="0" collapsed="false">
      <c r="A200" s="11" t="n">
        <v>46070</v>
      </c>
      <c r="B200" s="5" t="s">
        <v>284</v>
      </c>
      <c r="C200" s="5" t="s">
        <v>87</v>
      </c>
      <c r="D200" s="5" t="s">
        <v>64</v>
      </c>
      <c r="E200" s="5" t="s">
        <v>58</v>
      </c>
      <c r="F200" s="5" t="s">
        <v>59</v>
      </c>
      <c r="G200" s="5" t="n">
        <v>2387</v>
      </c>
      <c r="H200" s="12" t="n">
        <v>3.9</v>
      </c>
      <c r="I200" s="12" t="n">
        <v>9309.3</v>
      </c>
      <c r="J200" s="12" t="n">
        <v>4057.9</v>
      </c>
      <c r="K200" s="12" t="n">
        <f aca="false">I200-J200</f>
        <v>5251.4</v>
      </c>
    </row>
    <row r="201" customFormat="false" ht="15" hidden="false" customHeight="false" outlineLevel="0" collapsed="false">
      <c r="A201" s="11" t="n">
        <v>46070</v>
      </c>
      <c r="B201" s="5" t="s">
        <v>285</v>
      </c>
      <c r="C201" s="5" t="s">
        <v>56</v>
      </c>
      <c r="D201" s="5" t="s">
        <v>57</v>
      </c>
      <c r="E201" s="5" t="s">
        <v>58</v>
      </c>
      <c r="F201" s="5" t="s">
        <v>96</v>
      </c>
      <c r="G201" s="5" t="n">
        <v>3876</v>
      </c>
      <c r="H201" s="12" t="n">
        <v>2.1</v>
      </c>
      <c r="I201" s="12" t="n">
        <v>8139.6</v>
      </c>
      <c r="J201" s="12" t="n">
        <v>3565.92</v>
      </c>
      <c r="K201" s="12" t="n">
        <f aca="false">I201-J201</f>
        <v>4573.68</v>
      </c>
    </row>
    <row r="202" customFormat="false" ht="15" hidden="false" customHeight="false" outlineLevel="0" collapsed="false">
      <c r="A202" s="11" t="n">
        <v>46070</v>
      </c>
      <c r="B202" s="5" t="s">
        <v>286</v>
      </c>
      <c r="C202" s="5" t="s">
        <v>81</v>
      </c>
      <c r="D202" s="5" t="s">
        <v>64</v>
      </c>
      <c r="E202" s="5" t="s">
        <v>75</v>
      </c>
      <c r="F202" s="5" t="s">
        <v>78</v>
      </c>
      <c r="G202" s="5" t="n">
        <v>280</v>
      </c>
      <c r="H202" s="12" t="n">
        <v>6.1</v>
      </c>
      <c r="I202" s="12" t="n">
        <v>1708</v>
      </c>
      <c r="J202" s="12" t="n">
        <v>728</v>
      </c>
      <c r="K202" s="12" t="n">
        <f aca="false">I202-J202</f>
        <v>980</v>
      </c>
    </row>
    <row r="203" customFormat="false" ht="15" hidden="false" customHeight="false" outlineLevel="0" collapsed="false">
      <c r="A203" s="11" t="n">
        <v>46070</v>
      </c>
      <c r="B203" s="5" t="s">
        <v>287</v>
      </c>
      <c r="C203" s="5" t="s">
        <v>94</v>
      </c>
      <c r="D203" s="5" t="s">
        <v>95</v>
      </c>
      <c r="E203" s="5" t="s">
        <v>65</v>
      </c>
      <c r="F203" s="5" t="s">
        <v>66</v>
      </c>
      <c r="G203" s="5" t="n">
        <v>133</v>
      </c>
      <c r="H203" s="12" t="n">
        <v>24.9</v>
      </c>
      <c r="I203" s="12" t="n">
        <v>3311.7</v>
      </c>
      <c r="J203" s="12" t="n">
        <v>1516.2</v>
      </c>
      <c r="K203" s="12" t="n">
        <f aca="false">I203-J203</f>
        <v>1795.5</v>
      </c>
    </row>
    <row r="204" customFormat="false" ht="15" hidden="false" customHeight="false" outlineLevel="0" collapsed="false">
      <c r="A204" s="11" t="n">
        <v>46070</v>
      </c>
      <c r="B204" s="5" t="s">
        <v>288</v>
      </c>
      <c r="C204" s="5" t="s">
        <v>87</v>
      </c>
      <c r="D204" s="5" t="s">
        <v>64</v>
      </c>
      <c r="E204" s="5" t="s">
        <v>65</v>
      </c>
      <c r="F204" s="5" t="s">
        <v>88</v>
      </c>
      <c r="G204" s="5" t="n">
        <v>478</v>
      </c>
      <c r="H204" s="12" t="n">
        <v>11.5</v>
      </c>
      <c r="I204" s="12" t="n">
        <v>5497</v>
      </c>
      <c r="J204" s="12" t="n">
        <v>2437.8</v>
      </c>
      <c r="K204" s="12" t="n">
        <f aca="false">I204-J204</f>
        <v>3059.2</v>
      </c>
    </row>
    <row r="205" customFormat="false" ht="15" hidden="false" customHeight="false" outlineLevel="0" collapsed="false">
      <c r="A205" s="11" t="n">
        <v>46071</v>
      </c>
      <c r="B205" s="5" t="s">
        <v>289</v>
      </c>
      <c r="C205" s="5" t="s">
        <v>81</v>
      </c>
      <c r="D205" s="5" t="s">
        <v>64</v>
      </c>
      <c r="E205" s="5" t="s">
        <v>75</v>
      </c>
      <c r="F205" s="5" t="s">
        <v>78</v>
      </c>
      <c r="G205" s="5" t="n">
        <v>280</v>
      </c>
      <c r="H205" s="12" t="n">
        <v>6.1</v>
      </c>
      <c r="I205" s="12" t="n">
        <v>1708</v>
      </c>
      <c r="J205" s="12" t="n">
        <v>728</v>
      </c>
      <c r="K205" s="12" t="n">
        <f aca="false">I205-J205</f>
        <v>980</v>
      </c>
    </row>
    <row r="206" customFormat="false" ht="15" hidden="false" customHeight="false" outlineLevel="0" collapsed="false">
      <c r="A206" s="11" t="n">
        <v>46071</v>
      </c>
      <c r="B206" s="5" t="s">
        <v>290</v>
      </c>
      <c r="C206" s="5" t="s">
        <v>115</v>
      </c>
      <c r="D206" s="5" t="s">
        <v>69</v>
      </c>
      <c r="E206" s="5" t="s">
        <v>65</v>
      </c>
      <c r="F206" s="5" t="s">
        <v>103</v>
      </c>
      <c r="G206" s="5" t="n">
        <v>135</v>
      </c>
      <c r="H206" s="12" t="n">
        <v>15.2</v>
      </c>
      <c r="I206" s="12" t="n">
        <v>2052</v>
      </c>
      <c r="J206" s="12" t="n">
        <v>918</v>
      </c>
      <c r="K206" s="12" t="n">
        <f aca="false">I206-J206</f>
        <v>1134</v>
      </c>
    </row>
    <row r="207" customFormat="false" ht="15" hidden="false" customHeight="false" outlineLevel="0" collapsed="false">
      <c r="A207" s="11" t="n">
        <v>46071</v>
      </c>
      <c r="B207" s="5" t="s">
        <v>291</v>
      </c>
      <c r="C207" s="5" t="s">
        <v>85</v>
      </c>
      <c r="D207" s="5" t="s">
        <v>69</v>
      </c>
      <c r="E207" s="5" t="s">
        <v>65</v>
      </c>
      <c r="F207" s="5" t="s">
        <v>88</v>
      </c>
      <c r="G207" s="5" t="n">
        <v>74</v>
      </c>
      <c r="H207" s="12" t="n">
        <v>11.5</v>
      </c>
      <c r="I207" s="12" t="n">
        <v>851</v>
      </c>
      <c r="J207" s="12" t="n">
        <v>377.4</v>
      </c>
      <c r="K207" s="12" t="n">
        <f aca="false">I207-J207</f>
        <v>473.6</v>
      </c>
    </row>
    <row r="208" customFormat="false" ht="15" hidden="false" customHeight="false" outlineLevel="0" collapsed="false">
      <c r="A208" s="11" t="n">
        <v>46071</v>
      </c>
      <c r="B208" s="5" t="s">
        <v>292</v>
      </c>
      <c r="C208" s="5" t="s">
        <v>81</v>
      </c>
      <c r="D208" s="5" t="s">
        <v>64</v>
      </c>
      <c r="E208" s="5" t="s">
        <v>70</v>
      </c>
      <c r="F208" s="5" t="s">
        <v>71</v>
      </c>
      <c r="G208" s="5" t="n">
        <v>1978</v>
      </c>
      <c r="H208" s="12" t="n">
        <v>2.95</v>
      </c>
      <c r="I208" s="12" t="n">
        <v>5835.1</v>
      </c>
      <c r="J208" s="12" t="n">
        <v>2571.4</v>
      </c>
      <c r="K208" s="12" t="n">
        <f aca="false">I208-J208</f>
        <v>3263.7</v>
      </c>
    </row>
    <row r="209" customFormat="false" ht="15" hidden="false" customHeight="false" outlineLevel="0" collapsed="false">
      <c r="A209" s="11" t="n">
        <v>46071</v>
      </c>
      <c r="B209" s="5" t="s">
        <v>293</v>
      </c>
      <c r="C209" s="5" t="s">
        <v>87</v>
      </c>
      <c r="D209" s="5" t="s">
        <v>64</v>
      </c>
      <c r="E209" s="5" t="s">
        <v>70</v>
      </c>
      <c r="F209" s="5" t="s">
        <v>90</v>
      </c>
      <c r="G209" s="5" t="n">
        <v>911</v>
      </c>
      <c r="H209" s="12" t="n">
        <v>2.7</v>
      </c>
      <c r="I209" s="12" t="n">
        <v>2459.7</v>
      </c>
      <c r="J209" s="12" t="n">
        <v>1093.2</v>
      </c>
      <c r="K209" s="12" t="n">
        <f aca="false">I209-J209</f>
        <v>1366.5</v>
      </c>
    </row>
    <row r="210" customFormat="false" ht="15" hidden="false" customHeight="false" outlineLevel="0" collapsed="false">
      <c r="A210" s="11" t="n">
        <v>46072</v>
      </c>
      <c r="B210" s="5" t="s">
        <v>294</v>
      </c>
      <c r="C210" s="5" t="s">
        <v>63</v>
      </c>
      <c r="D210" s="5" t="s">
        <v>64</v>
      </c>
      <c r="E210" s="5" t="s">
        <v>70</v>
      </c>
      <c r="F210" s="5" t="s">
        <v>92</v>
      </c>
      <c r="G210" s="5" t="n">
        <v>4038</v>
      </c>
      <c r="H210" s="12" t="n">
        <v>2.4</v>
      </c>
      <c r="I210" s="12" t="n">
        <v>9691.2</v>
      </c>
      <c r="J210" s="12" t="n">
        <v>3836.1</v>
      </c>
      <c r="K210" s="12" t="n">
        <f aca="false">I210-J210</f>
        <v>5855.1</v>
      </c>
    </row>
    <row r="211" customFormat="false" ht="15" hidden="false" customHeight="false" outlineLevel="0" collapsed="false">
      <c r="A211" s="11" t="n">
        <v>46073</v>
      </c>
      <c r="B211" s="5" t="s">
        <v>295</v>
      </c>
      <c r="C211" s="5" t="s">
        <v>73</v>
      </c>
      <c r="D211" s="5" t="s">
        <v>64</v>
      </c>
      <c r="E211" s="5" t="s">
        <v>58</v>
      </c>
      <c r="F211" s="5" t="s">
        <v>59</v>
      </c>
      <c r="G211" s="5" t="n">
        <v>3954</v>
      </c>
      <c r="H211" s="12" t="n">
        <v>3.74</v>
      </c>
      <c r="I211" s="12" t="n">
        <v>14787.96</v>
      </c>
      <c r="J211" s="12" t="n">
        <v>6721.8</v>
      </c>
      <c r="K211" s="12" t="n">
        <f aca="false">I211-J211</f>
        <v>8066.16</v>
      </c>
    </row>
    <row r="212" customFormat="false" ht="15" hidden="false" customHeight="false" outlineLevel="0" collapsed="false">
      <c r="A212" s="11" t="n">
        <v>46073</v>
      </c>
      <c r="B212" s="5" t="s">
        <v>296</v>
      </c>
      <c r="C212" s="5" t="s">
        <v>73</v>
      </c>
      <c r="D212" s="5" t="s">
        <v>64</v>
      </c>
      <c r="E212" s="5" t="s">
        <v>75</v>
      </c>
      <c r="F212" s="5" t="s">
        <v>76</v>
      </c>
      <c r="G212" s="5" t="n">
        <v>292</v>
      </c>
      <c r="H212" s="12" t="n">
        <v>4.61</v>
      </c>
      <c r="I212" s="12" t="n">
        <v>1346.12</v>
      </c>
      <c r="J212" s="12" t="n">
        <v>598.6</v>
      </c>
      <c r="K212" s="12" t="n">
        <f aca="false">I212-J212</f>
        <v>747.52</v>
      </c>
    </row>
    <row r="213" customFormat="false" ht="15" hidden="false" customHeight="false" outlineLevel="0" collapsed="false">
      <c r="A213" s="11" t="n">
        <v>46073</v>
      </c>
      <c r="B213" s="5" t="s">
        <v>297</v>
      </c>
      <c r="C213" s="5" t="s">
        <v>63</v>
      </c>
      <c r="D213" s="5" t="s">
        <v>64</v>
      </c>
      <c r="E213" s="5" t="s">
        <v>65</v>
      </c>
      <c r="F213" s="5" t="s">
        <v>66</v>
      </c>
      <c r="G213" s="5" t="n">
        <v>189</v>
      </c>
      <c r="H213" s="12" t="n">
        <v>24.9</v>
      </c>
      <c r="I213" s="12" t="n">
        <v>4706.1</v>
      </c>
      <c r="J213" s="12" t="n">
        <v>2154.6</v>
      </c>
      <c r="K213" s="12" t="n">
        <f aca="false">I213-J213</f>
        <v>2551.5</v>
      </c>
    </row>
    <row r="214" customFormat="false" ht="15" hidden="false" customHeight="false" outlineLevel="0" collapsed="false">
      <c r="A214" s="11" t="n">
        <v>46074</v>
      </c>
      <c r="B214" s="5" t="s">
        <v>298</v>
      </c>
      <c r="C214" s="5" t="s">
        <v>87</v>
      </c>
      <c r="D214" s="5" t="s">
        <v>64</v>
      </c>
      <c r="E214" s="5" t="s">
        <v>75</v>
      </c>
      <c r="F214" s="5" t="s">
        <v>78</v>
      </c>
      <c r="G214" s="5" t="n">
        <v>197</v>
      </c>
      <c r="H214" s="12" t="n">
        <v>6.1</v>
      </c>
      <c r="I214" s="12" t="n">
        <v>1201.7</v>
      </c>
      <c r="J214" s="12" t="n">
        <v>512.2</v>
      </c>
      <c r="K214" s="12" t="n">
        <f aca="false">I214-J214</f>
        <v>689.5</v>
      </c>
    </row>
    <row r="215" customFormat="false" ht="15" hidden="false" customHeight="false" outlineLevel="0" collapsed="false">
      <c r="A215" s="11" t="n">
        <v>46074</v>
      </c>
      <c r="B215" s="5" t="s">
        <v>299</v>
      </c>
      <c r="C215" s="5" t="s">
        <v>99</v>
      </c>
      <c r="D215" s="5" t="s">
        <v>69</v>
      </c>
      <c r="E215" s="5" t="s">
        <v>65</v>
      </c>
      <c r="F215" s="5" t="s">
        <v>66</v>
      </c>
      <c r="G215" s="5" t="n">
        <v>150</v>
      </c>
      <c r="H215" s="12" t="n">
        <v>23.9</v>
      </c>
      <c r="I215" s="12" t="n">
        <v>3585</v>
      </c>
      <c r="J215" s="12" t="n">
        <v>1710</v>
      </c>
      <c r="K215" s="12" t="n">
        <f aca="false">I215-J215</f>
        <v>1875</v>
      </c>
    </row>
    <row r="216" customFormat="false" ht="15" hidden="false" customHeight="false" outlineLevel="0" collapsed="false">
      <c r="A216" s="11" t="n">
        <v>46074</v>
      </c>
      <c r="B216" s="5" t="s">
        <v>300</v>
      </c>
      <c r="C216" s="5" t="s">
        <v>56</v>
      </c>
      <c r="D216" s="5" t="s">
        <v>57</v>
      </c>
      <c r="E216" s="5" t="s">
        <v>65</v>
      </c>
      <c r="F216" s="5" t="s">
        <v>66</v>
      </c>
      <c r="G216" s="5" t="n">
        <v>123</v>
      </c>
      <c r="H216" s="12" t="n">
        <v>24.9</v>
      </c>
      <c r="I216" s="12" t="n">
        <v>3062.7</v>
      </c>
      <c r="J216" s="12" t="n">
        <v>1402.2</v>
      </c>
      <c r="K216" s="12" t="n">
        <f aca="false">I216-J216</f>
        <v>1660.5</v>
      </c>
    </row>
    <row r="217" customFormat="false" ht="15" hidden="false" customHeight="false" outlineLevel="0" collapsed="false">
      <c r="A217" s="11" t="n">
        <v>46074</v>
      </c>
      <c r="B217" s="5" t="s">
        <v>301</v>
      </c>
      <c r="C217" s="5" t="s">
        <v>56</v>
      </c>
      <c r="D217" s="5" t="s">
        <v>57</v>
      </c>
      <c r="E217" s="5" t="s">
        <v>70</v>
      </c>
      <c r="F217" s="5" t="s">
        <v>71</v>
      </c>
      <c r="G217" s="5" t="n">
        <v>1676</v>
      </c>
      <c r="H217" s="12" t="n">
        <v>2.95</v>
      </c>
      <c r="I217" s="12" t="n">
        <v>4944.2</v>
      </c>
      <c r="J217" s="12" t="n">
        <v>2178.8</v>
      </c>
      <c r="K217" s="12" t="n">
        <f aca="false">I217-J217</f>
        <v>2765.4</v>
      </c>
    </row>
    <row r="218" customFormat="false" ht="15" hidden="false" customHeight="false" outlineLevel="0" collapsed="false">
      <c r="A218" s="11" t="n">
        <v>46075</v>
      </c>
      <c r="B218" s="5" t="s">
        <v>302</v>
      </c>
      <c r="C218" s="5" t="s">
        <v>68</v>
      </c>
      <c r="D218" s="5" t="s">
        <v>69</v>
      </c>
      <c r="E218" s="5" t="s">
        <v>58</v>
      </c>
      <c r="F218" s="5" t="s">
        <v>59</v>
      </c>
      <c r="G218" s="5" t="n">
        <v>1177</v>
      </c>
      <c r="H218" s="12" t="n">
        <v>3.9</v>
      </c>
      <c r="I218" s="12" t="n">
        <v>4590.3</v>
      </c>
      <c r="J218" s="12" t="n">
        <v>2000.9</v>
      </c>
      <c r="K218" s="12" t="n">
        <f aca="false">I218-J218</f>
        <v>2589.4</v>
      </c>
    </row>
    <row r="219" customFormat="false" ht="15" hidden="false" customHeight="false" outlineLevel="0" collapsed="false">
      <c r="A219" s="11" t="n">
        <v>46075</v>
      </c>
      <c r="B219" s="5" t="s">
        <v>303</v>
      </c>
      <c r="C219" s="5" t="s">
        <v>63</v>
      </c>
      <c r="D219" s="5" t="s">
        <v>64</v>
      </c>
      <c r="E219" s="5" t="s">
        <v>75</v>
      </c>
      <c r="F219" s="5" t="s">
        <v>83</v>
      </c>
      <c r="G219" s="5" t="n">
        <v>397</v>
      </c>
      <c r="H219" s="12" t="n">
        <v>4.2</v>
      </c>
      <c r="I219" s="12" t="n">
        <v>1667.4</v>
      </c>
      <c r="J219" s="12" t="n">
        <v>734.45</v>
      </c>
      <c r="K219" s="12" t="n">
        <f aca="false">I219-J219</f>
        <v>932.95</v>
      </c>
    </row>
    <row r="220" customFormat="false" ht="15" hidden="false" customHeight="false" outlineLevel="0" collapsed="false">
      <c r="A220" s="11" t="n">
        <v>46075</v>
      </c>
      <c r="B220" s="5" t="s">
        <v>304</v>
      </c>
      <c r="C220" s="5" t="s">
        <v>94</v>
      </c>
      <c r="D220" s="5" t="s">
        <v>95</v>
      </c>
      <c r="E220" s="5" t="s">
        <v>75</v>
      </c>
      <c r="F220" s="5" t="s">
        <v>78</v>
      </c>
      <c r="G220" s="5" t="n">
        <v>232</v>
      </c>
      <c r="H220" s="12" t="n">
        <v>6.1</v>
      </c>
      <c r="I220" s="12" t="n">
        <v>1415.2</v>
      </c>
      <c r="J220" s="12" t="n">
        <v>603.2</v>
      </c>
      <c r="K220" s="12" t="n">
        <f aca="false">I220-J220</f>
        <v>812</v>
      </c>
    </row>
    <row r="221" customFormat="false" ht="15" hidden="false" customHeight="false" outlineLevel="0" collapsed="false">
      <c r="A221" s="11" t="n">
        <v>46075</v>
      </c>
      <c r="B221" s="5" t="s">
        <v>305</v>
      </c>
      <c r="C221" s="5" t="s">
        <v>87</v>
      </c>
      <c r="D221" s="5" t="s">
        <v>64</v>
      </c>
      <c r="E221" s="5" t="s">
        <v>75</v>
      </c>
      <c r="F221" s="5" t="s">
        <v>83</v>
      </c>
      <c r="G221" s="5" t="n">
        <v>286</v>
      </c>
      <c r="H221" s="12" t="n">
        <v>4.2</v>
      </c>
      <c r="I221" s="12" t="n">
        <v>1201.2</v>
      </c>
      <c r="J221" s="12" t="n">
        <v>529.1</v>
      </c>
      <c r="K221" s="12" t="n">
        <f aca="false">I221-J221</f>
        <v>672.1</v>
      </c>
    </row>
    <row r="222" customFormat="false" ht="15" hidden="false" customHeight="false" outlineLevel="0" collapsed="false">
      <c r="A222" s="11" t="n">
        <v>46075</v>
      </c>
      <c r="B222" s="5" t="s">
        <v>306</v>
      </c>
      <c r="C222" s="5" t="s">
        <v>115</v>
      </c>
      <c r="D222" s="5" t="s">
        <v>69</v>
      </c>
      <c r="E222" s="5" t="s">
        <v>75</v>
      </c>
      <c r="F222" s="5" t="s">
        <v>83</v>
      </c>
      <c r="G222" s="5" t="n">
        <v>160</v>
      </c>
      <c r="H222" s="12" t="n">
        <v>4.2</v>
      </c>
      <c r="I222" s="12" t="n">
        <v>672</v>
      </c>
      <c r="J222" s="12" t="n">
        <v>296</v>
      </c>
      <c r="K222" s="12" t="n">
        <f aca="false">I222-J222</f>
        <v>376</v>
      </c>
    </row>
    <row r="223" customFormat="false" ht="15" hidden="false" customHeight="false" outlineLevel="0" collapsed="false">
      <c r="A223" s="11" t="n">
        <v>46075</v>
      </c>
      <c r="B223" s="5" t="s">
        <v>307</v>
      </c>
      <c r="C223" s="5" t="s">
        <v>68</v>
      </c>
      <c r="D223" s="5" t="s">
        <v>69</v>
      </c>
      <c r="E223" s="5" t="s">
        <v>75</v>
      </c>
      <c r="F223" s="5" t="s">
        <v>78</v>
      </c>
      <c r="G223" s="5" t="n">
        <v>103</v>
      </c>
      <c r="H223" s="12" t="n">
        <v>6.1</v>
      </c>
      <c r="I223" s="12" t="n">
        <v>628.3</v>
      </c>
      <c r="J223" s="12" t="n">
        <v>267.8</v>
      </c>
      <c r="K223" s="12" t="n">
        <f aca="false">I223-J223</f>
        <v>360.5</v>
      </c>
    </row>
    <row r="224" customFormat="false" ht="15" hidden="false" customHeight="false" outlineLevel="0" collapsed="false">
      <c r="A224" s="11" t="n">
        <v>46075</v>
      </c>
      <c r="B224" s="5" t="s">
        <v>308</v>
      </c>
      <c r="C224" s="5" t="s">
        <v>81</v>
      </c>
      <c r="D224" s="5" t="s">
        <v>64</v>
      </c>
      <c r="E224" s="5" t="s">
        <v>65</v>
      </c>
      <c r="F224" s="5" t="s">
        <v>88</v>
      </c>
      <c r="G224" s="5" t="n">
        <v>451</v>
      </c>
      <c r="H224" s="12" t="n">
        <v>11.5</v>
      </c>
      <c r="I224" s="12" t="n">
        <v>5186.5</v>
      </c>
      <c r="J224" s="12" t="n">
        <v>2300.1</v>
      </c>
      <c r="K224" s="12" t="n">
        <f aca="false">I224-J224</f>
        <v>2886.4</v>
      </c>
    </row>
    <row r="225" customFormat="false" ht="15" hidden="false" customHeight="false" outlineLevel="0" collapsed="false">
      <c r="A225" s="11" t="n">
        <v>46075</v>
      </c>
      <c r="B225" s="5" t="s">
        <v>309</v>
      </c>
      <c r="C225" s="5" t="s">
        <v>87</v>
      </c>
      <c r="D225" s="5" t="s">
        <v>64</v>
      </c>
      <c r="E225" s="5" t="s">
        <v>70</v>
      </c>
      <c r="F225" s="5" t="s">
        <v>92</v>
      </c>
      <c r="G225" s="5" t="n">
        <v>1025</v>
      </c>
      <c r="H225" s="12" t="n">
        <v>2.4</v>
      </c>
      <c r="I225" s="12" t="n">
        <v>2460</v>
      </c>
      <c r="J225" s="12" t="n">
        <v>973.75</v>
      </c>
      <c r="K225" s="12" t="n">
        <f aca="false">I225-J225</f>
        <v>1486.25</v>
      </c>
    </row>
    <row r="226" customFormat="false" ht="15" hidden="false" customHeight="false" outlineLevel="0" collapsed="false">
      <c r="A226" s="11" t="n">
        <v>46076</v>
      </c>
      <c r="B226" s="5" t="s">
        <v>310</v>
      </c>
      <c r="C226" s="5" t="s">
        <v>94</v>
      </c>
      <c r="D226" s="5" t="s">
        <v>95</v>
      </c>
      <c r="E226" s="5" t="s">
        <v>58</v>
      </c>
      <c r="F226" s="5" t="s">
        <v>117</v>
      </c>
      <c r="G226" s="5" t="n">
        <v>4206</v>
      </c>
      <c r="H226" s="12" t="n">
        <v>3.4</v>
      </c>
      <c r="I226" s="12" t="n">
        <v>14300.4</v>
      </c>
      <c r="J226" s="12" t="n">
        <v>6098.7</v>
      </c>
      <c r="K226" s="12" t="n">
        <f aca="false">I226-J226</f>
        <v>8201.7</v>
      </c>
    </row>
    <row r="227" customFormat="false" ht="15" hidden="false" customHeight="false" outlineLevel="0" collapsed="false">
      <c r="A227" s="11" t="n">
        <v>46076</v>
      </c>
      <c r="B227" s="5" t="s">
        <v>311</v>
      </c>
      <c r="C227" s="5" t="s">
        <v>115</v>
      </c>
      <c r="D227" s="5" t="s">
        <v>69</v>
      </c>
      <c r="E227" s="5" t="s">
        <v>58</v>
      </c>
      <c r="F227" s="5" t="s">
        <v>59</v>
      </c>
      <c r="G227" s="5" t="n">
        <v>2343</v>
      </c>
      <c r="H227" s="12" t="n">
        <v>3.9</v>
      </c>
      <c r="I227" s="12" t="n">
        <v>9137.7</v>
      </c>
      <c r="J227" s="12" t="n">
        <v>3983.1</v>
      </c>
      <c r="K227" s="12" t="n">
        <f aca="false">I227-J227</f>
        <v>5154.6</v>
      </c>
    </row>
    <row r="228" customFormat="false" ht="15" hidden="false" customHeight="false" outlineLevel="0" collapsed="false">
      <c r="A228" s="11" t="n">
        <v>46076</v>
      </c>
      <c r="B228" s="5" t="s">
        <v>312</v>
      </c>
      <c r="C228" s="5" t="s">
        <v>56</v>
      </c>
      <c r="D228" s="5" t="s">
        <v>57</v>
      </c>
      <c r="E228" s="5" t="s">
        <v>58</v>
      </c>
      <c r="F228" s="5" t="s">
        <v>61</v>
      </c>
      <c r="G228" s="5" t="n">
        <v>332</v>
      </c>
      <c r="H228" s="12" t="n">
        <v>24.5</v>
      </c>
      <c r="I228" s="12" t="n">
        <v>8134</v>
      </c>
      <c r="J228" s="12" t="n">
        <v>3917.6</v>
      </c>
      <c r="K228" s="12" t="n">
        <f aca="false">I228-J228</f>
        <v>4216.4</v>
      </c>
    </row>
    <row r="229" customFormat="false" ht="15" hidden="false" customHeight="false" outlineLevel="0" collapsed="false">
      <c r="A229" s="11" t="n">
        <v>46076</v>
      </c>
      <c r="B229" s="5" t="s">
        <v>313</v>
      </c>
      <c r="C229" s="5" t="s">
        <v>63</v>
      </c>
      <c r="D229" s="5" t="s">
        <v>64</v>
      </c>
      <c r="E229" s="5" t="s">
        <v>65</v>
      </c>
      <c r="F229" s="5" t="s">
        <v>103</v>
      </c>
      <c r="G229" s="5" t="n">
        <v>310</v>
      </c>
      <c r="H229" s="12" t="n">
        <v>15.2</v>
      </c>
      <c r="I229" s="12" t="n">
        <v>4712</v>
      </c>
      <c r="J229" s="12" t="n">
        <v>2108</v>
      </c>
      <c r="K229" s="12" t="n">
        <f aca="false">I229-J229</f>
        <v>2604</v>
      </c>
    </row>
    <row r="230" customFormat="false" ht="15" hidden="false" customHeight="false" outlineLevel="0" collapsed="false">
      <c r="A230" s="11" t="n">
        <v>46076</v>
      </c>
      <c r="B230" s="5" t="s">
        <v>314</v>
      </c>
      <c r="C230" s="5" t="s">
        <v>68</v>
      </c>
      <c r="D230" s="5" t="s">
        <v>69</v>
      </c>
      <c r="E230" s="5" t="s">
        <v>70</v>
      </c>
      <c r="F230" s="5" t="s">
        <v>90</v>
      </c>
      <c r="G230" s="5" t="n">
        <v>670</v>
      </c>
      <c r="H230" s="12" t="n">
        <v>2.7</v>
      </c>
      <c r="I230" s="12" t="n">
        <v>1809</v>
      </c>
      <c r="J230" s="12" t="n">
        <v>804</v>
      </c>
      <c r="K230" s="12" t="n">
        <f aca="false">I230-J230</f>
        <v>1005</v>
      </c>
    </row>
    <row r="231" customFormat="false" ht="15" hidden="false" customHeight="false" outlineLevel="0" collapsed="false">
      <c r="A231" s="11" t="n">
        <v>46077</v>
      </c>
      <c r="B231" s="5" t="s">
        <v>315</v>
      </c>
      <c r="C231" s="5" t="s">
        <v>73</v>
      </c>
      <c r="D231" s="5" t="s">
        <v>64</v>
      </c>
      <c r="E231" s="5" t="s">
        <v>58</v>
      </c>
      <c r="F231" s="5" t="s">
        <v>61</v>
      </c>
      <c r="G231" s="5" t="n">
        <v>628</v>
      </c>
      <c r="H231" s="12" t="n">
        <v>23.52</v>
      </c>
      <c r="I231" s="12" t="n">
        <v>14770.56</v>
      </c>
      <c r="J231" s="12" t="n">
        <v>7410.4</v>
      </c>
      <c r="K231" s="12" t="n">
        <f aca="false">I231-J231</f>
        <v>7360.16</v>
      </c>
    </row>
    <row r="232" customFormat="false" ht="15" hidden="false" customHeight="false" outlineLevel="0" collapsed="false">
      <c r="A232" s="11" t="n">
        <v>46077</v>
      </c>
      <c r="B232" s="5" t="s">
        <v>316</v>
      </c>
      <c r="C232" s="5" t="s">
        <v>94</v>
      </c>
      <c r="D232" s="5" t="s">
        <v>95</v>
      </c>
      <c r="E232" s="5" t="s">
        <v>65</v>
      </c>
      <c r="F232" s="5" t="s">
        <v>66</v>
      </c>
      <c r="G232" s="5" t="n">
        <v>133</v>
      </c>
      <c r="H232" s="12" t="n">
        <v>24.9</v>
      </c>
      <c r="I232" s="12" t="n">
        <v>3311.7</v>
      </c>
      <c r="J232" s="12" t="n">
        <v>1516.2</v>
      </c>
      <c r="K232" s="12" t="n">
        <f aca="false">I232-J232</f>
        <v>1795.5</v>
      </c>
    </row>
    <row r="233" customFormat="false" ht="15" hidden="false" customHeight="false" outlineLevel="0" collapsed="false">
      <c r="A233" s="11" t="n">
        <v>46077</v>
      </c>
      <c r="B233" s="5" t="s">
        <v>317</v>
      </c>
      <c r="C233" s="5" t="s">
        <v>85</v>
      </c>
      <c r="D233" s="5" t="s">
        <v>69</v>
      </c>
      <c r="E233" s="5" t="s">
        <v>70</v>
      </c>
      <c r="F233" s="5" t="s">
        <v>92</v>
      </c>
      <c r="G233" s="5" t="n">
        <v>371</v>
      </c>
      <c r="H233" s="12" t="n">
        <v>2.4</v>
      </c>
      <c r="I233" s="12" t="n">
        <v>890.4</v>
      </c>
      <c r="J233" s="12" t="n">
        <v>352.45</v>
      </c>
      <c r="K233" s="12" t="n">
        <f aca="false">I233-J233</f>
        <v>537.95</v>
      </c>
    </row>
    <row r="234" customFormat="false" ht="15" hidden="false" customHeight="false" outlineLevel="0" collapsed="false">
      <c r="A234" s="11" t="n">
        <v>46078</v>
      </c>
      <c r="B234" s="5" t="s">
        <v>318</v>
      </c>
      <c r="C234" s="5" t="s">
        <v>99</v>
      </c>
      <c r="D234" s="5" t="s">
        <v>69</v>
      </c>
      <c r="E234" s="5" t="s">
        <v>58</v>
      </c>
      <c r="F234" s="5" t="s">
        <v>117</v>
      </c>
      <c r="G234" s="5" t="n">
        <v>3039</v>
      </c>
      <c r="H234" s="12" t="n">
        <v>3.26</v>
      </c>
      <c r="I234" s="12" t="n">
        <v>9907.14</v>
      </c>
      <c r="J234" s="12" t="n">
        <v>4406.55</v>
      </c>
      <c r="K234" s="12" t="n">
        <f aca="false">I234-J234</f>
        <v>5500.59</v>
      </c>
    </row>
    <row r="235" customFormat="false" ht="15" hidden="false" customHeight="false" outlineLevel="0" collapsed="false">
      <c r="A235" s="11" t="n">
        <v>46078</v>
      </c>
      <c r="B235" s="5" t="s">
        <v>319</v>
      </c>
      <c r="C235" s="5" t="s">
        <v>68</v>
      </c>
      <c r="D235" s="5" t="s">
        <v>69</v>
      </c>
      <c r="E235" s="5" t="s">
        <v>65</v>
      </c>
      <c r="F235" s="5" t="s">
        <v>66</v>
      </c>
      <c r="G235" s="5" t="n">
        <v>75</v>
      </c>
      <c r="H235" s="12" t="n">
        <v>24.9</v>
      </c>
      <c r="I235" s="12" t="n">
        <v>1867.5</v>
      </c>
      <c r="J235" s="12" t="n">
        <v>855</v>
      </c>
      <c r="K235" s="12" t="n">
        <f aca="false">I235-J235</f>
        <v>1012.5</v>
      </c>
    </row>
    <row r="236" customFormat="false" ht="15" hidden="false" customHeight="false" outlineLevel="0" collapsed="false">
      <c r="A236" s="11" t="n">
        <v>46078</v>
      </c>
      <c r="B236" s="5" t="s">
        <v>320</v>
      </c>
      <c r="C236" s="5" t="s">
        <v>94</v>
      </c>
      <c r="D236" s="5" t="s">
        <v>95</v>
      </c>
      <c r="E236" s="5" t="s">
        <v>70</v>
      </c>
      <c r="F236" s="5" t="s">
        <v>71</v>
      </c>
      <c r="G236" s="5" t="n">
        <v>1385</v>
      </c>
      <c r="H236" s="12" t="n">
        <v>2.95</v>
      </c>
      <c r="I236" s="12" t="n">
        <v>4085.75</v>
      </c>
      <c r="J236" s="12" t="n">
        <v>1800.5</v>
      </c>
      <c r="K236" s="12" t="n">
        <f aca="false">I236-J236</f>
        <v>2285.25</v>
      </c>
    </row>
    <row r="237" customFormat="false" ht="15" hidden="false" customHeight="false" outlineLevel="0" collapsed="false">
      <c r="A237" s="11" t="n">
        <v>46078</v>
      </c>
      <c r="B237" s="5" t="s">
        <v>321</v>
      </c>
      <c r="C237" s="5" t="s">
        <v>68</v>
      </c>
      <c r="D237" s="5" t="s">
        <v>69</v>
      </c>
      <c r="E237" s="5" t="s">
        <v>70</v>
      </c>
      <c r="F237" s="5" t="s">
        <v>92</v>
      </c>
      <c r="G237" s="5" t="n">
        <v>754</v>
      </c>
      <c r="H237" s="12" t="n">
        <v>2.4</v>
      </c>
      <c r="I237" s="12" t="n">
        <v>1809.6</v>
      </c>
      <c r="J237" s="12" t="n">
        <v>716.3</v>
      </c>
      <c r="K237" s="12" t="n">
        <f aca="false">I237-J237</f>
        <v>1093.3</v>
      </c>
    </row>
    <row r="238" customFormat="false" ht="15" hidden="false" customHeight="false" outlineLevel="0" collapsed="false">
      <c r="A238" s="11" t="n">
        <v>46079</v>
      </c>
      <c r="B238" s="5" t="s">
        <v>322</v>
      </c>
      <c r="C238" s="5" t="s">
        <v>63</v>
      </c>
      <c r="D238" s="5" t="s">
        <v>64</v>
      </c>
      <c r="E238" s="5" t="s">
        <v>70</v>
      </c>
      <c r="F238" s="5" t="s">
        <v>71</v>
      </c>
      <c r="G238" s="5" t="n">
        <v>3285</v>
      </c>
      <c r="H238" s="12" t="n">
        <v>2.95</v>
      </c>
      <c r="I238" s="12" t="n">
        <v>9690.75</v>
      </c>
      <c r="J238" s="12" t="n">
        <v>4270.5</v>
      </c>
      <c r="K238" s="12" t="n">
        <f aca="false">I238-J238</f>
        <v>5420.25</v>
      </c>
    </row>
    <row r="239" customFormat="false" ht="15" hidden="false" customHeight="false" outlineLevel="0" collapsed="false">
      <c r="A239" s="11" t="n">
        <v>46079</v>
      </c>
      <c r="B239" s="5" t="s">
        <v>323</v>
      </c>
      <c r="C239" s="5" t="s">
        <v>85</v>
      </c>
      <c r="D239" s="5" t="s">
        <v>69</v>
      </c>
      <c r="E239" s="5" t="s">
        <v>70</v>
      </c>
      <c r="F239" s="5" t="s">
        <v>92</v>
      </c>
      <c r="G239" s="5" t="n">
        <v>371</v>
      </c>
      <c r="H239" s="12" t="n">
        <v>2.4</v>
      </c>
      <c r="I239" s="12" t="n">
        <v>890.4</v>
      </c>
      <c r="J239" s="12" t="n">
        <v>352.45</v>
      </c>
      <c r="K239" s="12" t="n">
        <f aca="false">I239-J239</f>
        <v>537.95</v>
      </c>
    </row>
    <row r="240" customFormat="false" ht="15" hidden="false" customHeight="false" outlineLevel="0" collapsed="false">
      <c r="A240" s="11" t="n">
        <v>46080</v>
      </c>
      <c r="B240" s="5" t="s">
        <v>324</v>
      </c>
      <c r="C240" s="5" t="s">
        <v>81</v>
      </c>
      <c r="D240" s="5" t="s">
        <v>64</v>
      </c>
      <c r="E240" s="5" t="s">
        <v>58</v>
      </c>
      <c r="F240" s="5" t="s">
        <v>61</v>
      </c>
      <c r="G240" s="5" t="n">
        <v>492</v>
      </c>
      <c r="H240" s="12" t="n">
        <v>24.5</v>
      </c>
      <c r="I240" s="12" t="n">
        <v>12054</v>
      </c>
      <c r="J240" s="12" t="n">
        <v>5805.6</v>
      </c>
      <c r="K240" s="12" t="n">
        <f aca="false">I240-J240</f>
        <v>6248.4</v>
      </c>
    </row>
    <row r="241" customFormat="false" ht="15" hidden="false" customHeight="false" outlineLevel="0" collapsed="false">
      <c r="A241" s="11" t="n">
        <v>46080</v>
      </c>
      <c r="B241" s="5" t="s">
        <v>325</v>
      </c>
      <c r="C241" s="5" t="s">
        <v>73</v>
      </c>
      <c r="D241" s="5" t="s">
        <v>64</v>
      </c>
      <c r="E241" s="5" t="s">
        <v>75</v>
      </c>
      <c r="F241" s="5" t="s">
        <v>78</v>
      </c>
      <c r="G241" s="5" t="n">
        <v>230</v>
      </c>
      <c r="H241" s="12" t="n">
        <v>5.86</v>
      </c>
      <c r="I241" s="12" t="n">
        <v>1347.8</v>
      </c>
      <c r="J241" s="12" t="n">
        <v>598</v>
      </c>
      <c r="K241" s="12" t="n">
        <f aca="false">I241-J241</f>
        <v>749.8</v>
      </c>
    </row>
    <row r="242" customFormat="false" ht="15" hidden="false" customHeight="false" outlineLevel="0" collapsed="false">
      <c r="A242" s="11" t="n">
        <v>46080</v>
      </c>
      <c r="B242" s="5" t="s">
        <v>326</v>
      </c>
      <c r="C242" s="5" t="s">
        <v>56</v>
      </c>
      <c r="D242" s="5" t="s">
        <v>57</v>
      </c>
      <c r="E242" s="5" t="s">
        <v>75</v>
      </c>
      <c r="F242" s="5" t="s">
        <v>78</v>
      </c>
      <c r="G242" s="5" t="n">
        <v>208</v>
      </c>
      <c r="H242" s="12" t="n">
        <v>6.1</v>
      </c>
      <c r="I242" s="12" t="n">
        <v>1268.8</v>
      </c>
      <c r="J242" s="12" t="n">
        <v>540.8</v>
      </c>
      <c r="K242" s="12" t="n">
        <f aca="false">I242-J242</f>
        <v>728</v>
      </c>
    </row>
    <row r="243" customFormat="false" ht="15" hidden="false" customHeight="false" outlineLevel="0" collapsed="false">
      <c r="A243" s="11" t="n">
        <v>46081</v>
      </c>
      <c r="B243" s="5" t="s">
        <v>327</v>
      </c>
      <c r="C243" s="5" t="s">
        <v>94</v>
      </c>
      <c r="D243" s="5" t="s">
        <v>95</v>
      </c>
      <c r="E243" s="5" t="s">
        <v>70</v>
      </c>
      <c r="F243" s="5" t="s">
        <v>90</v>
      </c>
      <c r="G243" s="5" t="n">
        <v>1513</v>
      </c>
      <c r="H243" s="12" t="n">
        <v>2.7</v>
      </c>
      <c r="I243" s="12" t="n">
        <v>4085.1</v>
      </c>
      <c r="J243" s="12" t="n">
        <v>1815.6</v>
      </c>
      <c r="K243" s="12" t="n">
        <f aca="false">I243-J243</f>
        <v>2269.5</v>
      </c>
    </row>
    <row r="244" customFormat="false" ht="15" hidden="false" customHeight="false" outlineLevel="0" collapsed="false">
      <c r="A244" s="11" t="n">
        <v>46081</v>
      </c>
      <c r="B244" s="5" t="s">
        <v>328</v>
      </c>
      <c r="C244" s="5" t="s">
        <v>85</v>
      </c>
      <c r="D244" s="5" t="s">
        <v>69</v>
      </c>
      <c r="E244" s="5" t="s">
        <v>70</v>
      </c>
      <c r="F244" s="5" t="s">
        <v>90</v>
      </c>
      <c r="G244" s="5" t="n">
        <v>330</v>
      </c>
      <c r="H244" s="12" t="n">
        <v>2.7</v>
      </c>
      <c r="I244" s="12" t="n">
        <v>891</v>
      </c>
      <c r="J244" s="12" t="n">
        <v>396</v>
      </c>
      <c r="K244" s="12" t="n">
        <f aca="false">I244-J244</f>
        <v>495</v>
      </c>
    </row>
    <row r="245" customFormat="false" ht="15" hidden="false" customHeight="false" outlineLevel="0" collapsed="false">
      <c r="A245" s="11" t="n">
        <v>46082</v>
      </c>
      <c r="B245" s="5" t="s">
        <v>329</v>
      </c>
      <c r="C245" s="5" t="s">
        <v>87</v>
      </c>
      <c r="D245" s="5" t="s">
        <v>64</v>
      </c>
      <c r="E245" s="5" t="s">
        <v>58</v>
      </c>
      <c r="F245" s="5" t="s">
        <v>117</v>
      </c>
      <c r="G245" s="5" t="n">
        <v>2424</v>
      </c>
      <c r="H245" s="12" t="n">
        <v>3.4</v>
      </c>
      <c r="I245" s="12" t="n">
        <v>8241.6</v>
      </c>
      <c r="J245" s="12" t="n">
        <v>3514.8</v>
      </c>
      <c r="K245" s="12" t="n">
        <f aca="false">I245-J245</f>
        <v>4726.8</v>
      </c>
    </row>
    <row r="246" customFormat="false" ht="15" hidden="false" customHeight="false" outlineLevel="0" collapsed="false">
      <c r="A246" s="11" t="n">
        <v>46082</v>
      </c>
      <c r="B246" s="5" t="s">
        <v>330</v>
      </c>
      <c r="C246" s="5" t="s">
        <v>85</v>
      </c>
      <c r="D246" s="5" t="s">
        <v>69</v>
      </c>
      <c r="E246" s="5" t="s">
        <v>58</v>
      </c>
      <c r="F246" s="5" t="s">
        <v>117</v>
      </c>
      <c r="G246" s="5" t="n">
        <v>1692</v>
      </c>
      <c r="H246" s="12" t="n">
        <v>3.4</v>
      </c>
      <c r="I246" s="12" t="n">
        <v>5752.8</v>
      </c>
      <c r="J246" s="12" t="n">
        <v>2453.4</v>
      </c>
      <c r="K246" s="12" t="n">
        <f aca="false">I246-J246</f>
        <v>3299.4</v>
      </c>
    </row>
    <row r="247" customFormat="false" ht="15" hidden="false" customHeight="false" outlineLevel="0" collapsed="false">
      <c r="A247" s="11" t="n">
        <v>46082</v>
      </c>
      <c r="B247" s="5" t="s">
        <v>331</v>
      </c>
      <c r="C247" s="5" t="s">
        <v>63</v>
      </c>
      <c r="D247" s="5" t="s">
        <v>64</v>
      </c>
      <c r="E247" s="5" t="s">
        <v>65</v>
      </c>
      <c r="F247" s="5" t="s">
        <v>103</v>
      </c>
      <c r="G247" s="5" t="n">
        <v>541</v>
      </c>
      <c r="H247" s="12" t="n">
        <v>15.2</v>
      </c>
      <c r="I247" s="12" t="n">
        <v>8223.2</v>
      </c>
      <c r="J247" s="12" t="n">
        <v>3678.8</v>
      </c>
      <c r="K247" s="12" t="n">
        <f aca="false">I247-J247</f>
        <v>4544.4</v>
      </c>
    </row>
    <row r="248" customFormat="false" ht="15" hidden="false" customHeight="false" outlineLevel="0" collapsed="false">
      <c r="A248" s="11" t="n">
        <v>46082</v>
      </c>
      <c r="B248" s="5" t="s">
        <v>332</v>
      </c>
      <c r="C248" s="5" t="s">
        <v>81</v>
      </c>
      <c r="D248" s="5" t="s">
        <v>64</v>
      </c>
      <c r="E248" s="5" t="s">
        <v>70</v>
      </c>
      <c r="F248" s="5" t="s">
        <v>90</v>
      </c>
      <c r="G248" s="5" t="n">
        <v>2112</v>
      </c>
      <c r="H248" s="12" t="n">
        <v>2.7</v>
      </c>
      <c r="I248" s="12" t="n">
        <v>5702.4</v>
      </c>
      <c r="J248" s="12" t="n">
        <v>2534.4</v>
      </c>
      <c r="K248" s="12" t="n">
        <f aca="false">I248-J248</f>
        <v>3168</v>
      </c>
    </row>
    <row r="249" customFormat="false" ht="15" hidden="false" customHeight="false" outlineLevel="0" collapsed="false">
      <c r="A249" s="11" t="n">
        <v>46083</v>
      </c>
      <c r="B249" s="5" t="s">
        <v>333</v>
      </c>
      <c r="C249" s="5" t="s">
        <v>73</v>
      </c>
      <c r="D249" s="5" t="s">
        <v>64</v>
      </c>
      <c r="E249" s="5" t="s">
        <v>58</v>
      </c>
      <c r="F249" s="5" t="s">
        <v>61</v>
      </c>
      <c r="G249" s="5" t="n">
        <v>256</v>
      </c>
      <c r="H249" s="12" t="n">
        <v>23.52</v>
      </c>
      <c r="I249" s="12" t="n">
        <v>6021.12</v>
      </c>
      <c r="J249" s="12" t="n">
        <v>3020.8</v>
      </c>
      <c r="K249" s="12" t="n">
        <f aca="false">I249-J249</f>
        <v>3000.32</v>
      </c>
    </row>
    <row r="250" customFormat="false" ht="15" hidden="false" customHeight="false" outlineLevel="0" collapsed="false">
      <c r="A250" s="11" t="n">
        <v>46083</v>
      </c>
      <c r="B250" s="5" t="s">
        <v>334</v>
      </c>
      <c r="C250" s="5" t="s">
        <v>68</v>
      </c>
      <c r="D250" s="5" t="s">
        <v>69</v>
      </c>
      <c r="E250" s="5" t="s">
        <v>58</v>
      </c>
      <c r="F250" s="5" t="s">
        <v>117</v>
      </c>
      <c r="G250" s="5" t="n">
        <v>1242</v>
      </c>
      <c r="H250" s="12" t="n">
        <v>3.4</v>
      </c>
      <c r="I250" s="12" t="n">
        <v>4222.8</v>
      </c>
      <c r="J250" s="12" t="n">
        <v>1800.9</v>
      </c>
      <c r="K250" s="12" t="n">
        <f aca="false">I250-J250</f>
        <v>2421.9</v>
      </c>
    </row>
    <row r="251" customFormat="false" ht="15" hidden="false" customHeight="false" outlineLevel="0" collapsed="false">
      <c r="A251" s="11" t="n">
        <v>46083</v>
      </c>
      <c r="B251" s="5" t="s">
        <v>335</v>
      </c>
      <c r="C251" s="5" t="s">
        <v>73</v>
      </c>
      <c r="D251" s="5" t="s">
        <v>64</v>
      </c>
      <c r="E251" s="5" t="s">
        <v>75</v>
      </c>
      <c r="F251" s="5" t="s">
        <v>78</v>
      </c>
      <c r="G251" s="5" t="n">
        <v>345</v>
      </c>
      <c r="H251" s="12" t="n">
        <v>5.86</v>
      </c>
      <c r="I251" s="12" t="n">
        <v>2021.7</v>
      </c>
      <c r="J251" s="12" t="n">
        <v>897</v>
      </c>
      <c r="K251" s="12" t="n">
        <f aca="false">I251-J251</f>
        <v>1124.7</v>
      </c>
    </row>
    <row r="252" customFormat="false" ht="15" hidden="false" customHeight="false" outlineLevel="0" collapsed="false">
      <c r="A252" s="11" t="n">
        <v>46083</v>
      </c>
      <c r="B252" s="5" t="s">
        <v>336</v>
      </c>
      <c r="C252" s="5" t="s">
        <v>94</v>
      </c>
      <c r="D252" s="5" t="s">
        <v>95</v>
      </c>
      <c r="E252" s="5" t="s">
        <v>75</v>
      </c>
      <c r="F252" s="5" t="s">
        <v>83</v>
      </c>
      <c r="G252" s="5" t="n">
        <v>421</v>
      </c>
      <c r="H252" s="12" t="n">
        <v>4.2</v>
      </c>
      <c r="I252" s="12" t="n">
        <v>1768.2</v>
      </c>
      <c r="J252" s="12" t="n">
        <v>778.85</v>
      </c>
      <c r="K252" s="12" t="n">
        <f aca="false">I252-J252</f>
        <v>989.35</v>
      </c>
    </row>
    <row r="253" customFormat="false" ht="15" hidden="false" customHeight="false" outlineLevel="0" collapsed="false">
      <c r="A253" s="11" t="n">
        <v>46083</v>
      </c>
      <c r="B253" s="5" t="s">
        <v>337</v>
      </c>
      <c r="C253" s="5" t="s">
        <v>115</v>
      </c>
      <c r="D253" s="5" t="s">
        <v>69</v>
      </c>
      <c r="E253" s="5" t="s">
        <v>75</v>
      </c>
      <c r="F253" s="5" t="s">
        <v>78</v>
      </c>
      <c r="G253" s="5" t="n">
        <v>160</v>
      </c>
      <c r="H253" s="12" t="n">
        <v>6.1</v>
      </c>
      <c r="I253" s="12" t="n">
        <v>976</v>
      </c>
      <c r="J253" s="12" t="n">
        <v>416</v>
      </c>
      <c r="K253" s="12" t="n">
        <f aca="false">I253-J253</f>
        <v>560</v>
      </c>
    </row>
    <row r="254" customFormat="false" ht="15" hidden="false" customHeight="false" outlineLevel="0" collapsed="false">
      <c r="A254" s="11" t="n">
        <v>46083</v>
      </c>
      <c r="B254" s="5" t="s">
        <v>338</v>
      </c>
      <c r="C254" s="5" t="s">
        <v>115</v>
      </c>
      <c r="D254" s="5" t="s">
        <v>69</v>
      </c>
      <c r="E254" s="5" t="s">
        <v>65</v>
      </c>
      <c r="F254" s="5" t="s">
        <v>88</v>
      </c>
      <c r="G254" s="5" t="n">
        <v>165</v>
      </c>
      <c r="H254" s="12" t="n">
        <v>11.5</v>
      </c>
      <c r="I254" s="12" t="n">
        <v>1897.5</v>
      </c>
      <c r="J254" s="12" t="n">
        <v>841.5</v>
      </c>
      <c r="K254" s="12" t="n">
        <f aca="false">I254-J254</f>
        <v>1056</v>
      </c>
    </row>
    <row r="255" customFormat="false" ht="15" hidden="false" customHeight="false" outlineLevel="0" collapsed="false">
      <c r="A255" s="11" t="n">
        <v>46083</v>
      </c>
      <c r="B255" s="5" t="s">
        <v>339</v>
      </c>
      <c r="C255" s="5" t="s">
        <v>85</v>
      </c>
      <c r="D255" s="5" t="s">
        <v>69</v>
      </c>
      <c r="E255" s="5" t="s">
        <v>70</v>
      </c>
      <c r="F255" s="5" t="s">
        <v>71</v>
      </c>
      <c r="G255" s="5" t="n">
        <v>446</v>
      </c>
      <c r="H255" s="12" t="n">
        <v>2.95</v>
      </c>
      <c r="I255" s="12" t="n">
        <v>1315.7</v>
      </c>
      <c r="J255" s="12" t="n">
        <v>579.8</v>
      </c>
      <c r="K255" s="12" t="n">
        <f aca="false">I255-J255</f>
        <v>735.9</v>
      </c>
    </row>
    <row r="256" customFormat="false" ht="15" hidden="false" customHeight="false" outlineLevel="0" collapsed="false">
      <c r="A256" s="11" t="n">
        <v>46084</v>
      </c>
      <c r="B256" s="5" t="s">
        <v>340</v>
      </c>
      <c r="C256" s="5" t="s">
        <v>94</v>
      </c>
      <c r="D256" s="5" t="s">
        <v>95</v>
      </c>
      <c r="E256" s="5" t="s">
        <v>75</v>
      </c>
      <c r="F256" s="5" t="s">
        <v>76</v>
      </c>
      <c r="G256" s="5" t="n">
        <v>369</v>
      </c>
      <c r="H256" s="12" t="n">
        <v>4.8</v>
      </c>
      <c r="I256" s="12" t="n">
        <v>1771.2</v>
      </c>
      <c r="J256" s="12" t="n">
        <v>756.45</v>
      </c>
      <c r="K256" s="12" t="n">
        <f aca="false">I256-J256</f>
        <v>1014.75</v>
      </c>
    </row>
    <row r="257" customFormat="false" ht="15" hidden="false" customHeight="false" outlineLevel="0" collapsed="false">
      <c r="A257" s="11" t="n">
        <v>46084</v>
      </c>
      <c r="B257" s="5" t="s">
        <v>341</v>
      </c>
      <c r="C257" s="5" t="s">
        <v>115</v>
      </c>
      <c r="D257" s="5" t="s">
        <v>69</v>
      </c>
      <c r="E257" s="5" t="s">
        <v>75</v>
      </c>
      <c r="F257" s="5" t="s">
        <v>76</v>
      </c>
      <c r="G257" s="5" t="n">
        <v>204</v>
      </c>
      <c r="H257" s="12" t="n">
        <v>4.8</v>
      </c>
      <c r="I257" s="12" t="n">
        <v>979.2</v>
      </c>
      <c r="J257" s="12" t="n">
        <v>418.2</v>
      </c>
      <c r="K257" s="12" t="n">
        <f aca="false">I257-J257</f>
        <v>561</v>
      </c>
    </row>
    <row r="258" customFormat="false" ht="15" hidden="false" customHeight="false" outlineLevel="0" collapsed="false">
      <c r="A258" s="11" t="n">
        <v>46084</v>
      </c>
      <c r="B258" s="5" t="s">
        <v>342</v>
      </c>
      <c r="C258" s="5" t="s">
        <v>63</v>
      </c>
      <c r="D258" s="5" t="s">
        <v>64</v>
      </c>
      <c r="E258" s="5" t="s">
        <v>70</v>
      </c>
      <c r="F258" s="5" t="s">
        <v>71</v>
      </c>
      <c r="G258" s="5" t="n">
        <v>2097</v>
      </c>
      <c r="H258" s="12" t="n">
        <v>2.95</v>
      </c>
      <c r="I258" s="12" t="n">
        <v>6186.15</v>
      </c>
      <c r="J258" s="12" t="n">
        <v>2726.1</v>
      </c>
      <c r="K258" s="12" t="n">
        <f aca="false">I258-J258</f>
        <v>3460.05</v>
      </c>
    </row>
    <row r="259" customFormat="false" ht="15" hidden="false" customHeight="false" outlineLevel="0" collapsed="false">
      <c r="A259" s="11" t="n">
        <v>46085</v>
      </c>
      <c r="B259" s="5" t="s">
        <v>343</v>
      </c>
      <c r="C259" s="5" t="s">
        <v>56</v>
      </c>
      <c r="D259" s="5" t="s">
        <v>57</v>
      </c>
      <c r="E259" s="5" t="s">
        <v>58</v>
      </c>
      <c r="F259" s="5" t="s">
        <v>61</v>
      </c>
      <c r="G259" s="5" t="n">
        <v>257</v>
      </c>
      <c r="H259" s="12" t="n">
        <v>24.5</v>
      </c>
      <c r="I259" s="12" t="n">
        <v>6296.5</v>
      </c>
      <c r="J259" s="12" t="n">
        <v>3032.6</v>
      </c>
      <c r="K259" s="12" t="n">
        <f aca="false">I259-J259</f>
        <v>3263.9</v>
      </c>
    </row>
    <row r="260" customFormat="false" ht="15" hidden="false" customHeight="false" outlineLevel="0" collapsed="false">
      <c r="A260" s="11" t="n">
        <v>46085</v>
      </c>
      <c r="B260" s="5" t="s">
        <v>344</v>
      </c>
      <c r="C260" s="5" t="s">
        <v>94</v>
      </c>
      <c r="D260" s="5" t="s">
        <v>95</v>
      </c>
      <c r="E260" s="5" t="s">
        <v>70</v>
      </c>
      <c r="F260" s="5" t="s">
        <v>90</v>
      </c>
      <c r="G260" s="5" t="n">
        <v>942</v>
      </c>
      <c r="H260" s="12" t="n">
        <v>2.7</v>
      </c>
      <c r="I260" s="12" t="n">
        <v>2543.4</v>
      </c>
      <c r="J260" s="12" t="n">
        <v>1130.4</v>
      </c>
      <c r="K260" s="12" t="n">
        <f aca="false">I260-J260</f>
        <v>1413</v>
      </c>
    </row>
    <row r="261" customFormat="false" ht="15" hidden="false" customHeight="false" outlineLevel="0" collapsed="false">
      <c r="A261" s="11" t="n">
        <v>46086</v>
      </c>
      <c r="B261" s="5" t="s">
        <v>345</v>
      </c>
      <c r="C261" s="5" t="s">
        <v>94</v>
      </c>
      <c r="D261" s="5" t="s">
        <v>95</v>
      </c>
      <c r="E261" s="5" t="s">
        <v>58</v>
      </c>
      <c r="F261" s="5" t="s">
        <v>59</v>
      </c>
      <c r="G261" s="5" t="n">
        <v>2435</v>
      </c>
      <c r="H261" s="12" t="n">
        <v>3.9</v>
      </c>
      <c r="I261" s="12" t="n">
        <v>9496.5</v>
      </c>
      <c r="J261" s="12" t="n">
        <v>4139.5</v>
      </c>
      <c r="K261" s="12" t="n">
        <f aca="false">I261-J261</f>
        <v>5357</v>
      </c>
    </row>
    <row r="262" customFormat="false" ht="15" hidden="false" customHeight="false" outlineLevel="0" collapsed="false">
      <c r="A262" s="11" t="n">
        <v>46086</v>
      </c>
      <c r="B262" s="5" t="s">
        <v>346</v>
      </c>
      <c r="C262" s="5" t="s">
        <v>115</v>
      </c>
      <c r="D262" s="5" t="s">
        <v>69</v>
      </c>
      <c r="E262" s="5" t="s">
        <v>58</v>
      </c>
      <c r="F262" s="5" t="s">
        <v>61</v>
      </c>
      <c r="G262" s="5" t="n">
        <v>318</v>
      </c>
      <c r="H262" s="12" t="n">
        <v>24.5</v>
      </c>
      <c r="I262" s="12" t="n">
        <v>7791</v>
      </c>
      <c r="J262" s="12" t="n">
        <v>3752.4</v>
      </c>
      <c r="K262" s="12" t="n">
        <f aca="false">I262-J262</f>
        <v>4038.6</v>
      </c>
    </row>
    <row r="263" customFormat="false" ht="15" hidden="false" customHeight="false" outlineLevel="0" collapsed="false">
      <c r="A263" s="11" t="n">
        <v>46086</v>
      </c>
      <c r="B263" s="5" t="s">
        <v>347</v>
      </c>
      <c r="C263" s="5" t="s">
        <v>68</v>
      </c>
      <c r="D263" s="5" t="s">
        <v>69</v>
      </c>
      <c r="E263" s="5" t="s">
        <v>75</v>
      </c>
      <c r="F263" s="5" t="s">
        <v>76</v>
      </c>
      <c r="G263" s="5" t="n">
        <v>272</v>
      </c>
      <c r="H263" s="12" t="n">
        <v>4.8</v>
      </c>
      <c r="I263" s="12" t="n">
        <v>1305.6</v>
      </c>
      <c r="J263" s="12" t="n">
        <v>557.6</v>
      </c>
      <c r="K263" s="12" t="n">
        <f aca="false">I263-J263</f>
        <v>748</v>
      </c>
    </row>
    <row r="264" customFormat="false" ht="15" hidden="false" customHeight="false" outlineLevel="0" collapsed="false">
      <c r="A264" s="11" t="n">
        <v>46086</v>
      </c>
      <c r="B264" s="5" t="s">
        <v>348</v>
      </c>
      <c r="C264" s="5" t="s">
        <v>87</v>
      </c>
      <c r="D264" s="5" t="s">
        <v>64</v>
      </c>
      <c r="E264" s="5" t="s">
        <v>65</v>
      </c>
      <c r="F264" s="5" t="s">
        <v>66</v>
      </c>
      <c r="G264" s="5" t="n">
        <v>203</v>
      </c>
      <c r="H264" s="12" t="n">
        <v>24.9</v>
      </c>
      <c r="I264" s="12" t="n">
        <v>5054.7</v>
      </c>
      <c r="J264" s="12" t="n">
        <v>2314.2</v>
      </c>
      <c r="K264" s="12" t="n">
        <f aca="false">I264-J264</f>
        <v>2740.5</v>
      </c>
    </row>
    <row r="265" customFormat="false" ht="15" hidden="false" customHeight="false" outlineLevel="0" collapsed="false">
      <c r="A265" s="11" t="n">
        <v>46086</v>
      </c>
      <c r="B265" s="5" t="s">
        <v>349</v>
      </c>
      <c r="C265" s="5" t="s">
        <v>81</v>
      </c>
      <c r="D265" s="5" t="s">
        <v>64</v>
      </c>
      <c r="E265" s="5" t="s">
        <v>70</v>
      </c>
      <c r="F265" s="5" t="s">
        <v>71</v>
      </c>
      <c r="G265" s="5" t="n">
        <v>1933</v>
      </c>
      <c r="H265" s="12" t="n">
        <v>2.95</v>
      </c>
      <c r="I265" s="12" t="n">
        <v>5702.35</v>
      </c>
      <c r="J265" s="12" t="n">
        <v>2512.9</v>
      </c>
      <c r="K265" s="12" t="n">
        <f aca="false">I265-J265</f>
        <v>3189.45</v>
      </c>
    </row>
    <row r="266" customFormat="false" ht="15" hidden="false" customHeight="false" outlineLevel="0" collapsed="false">
      <c r="A266" s="11" t="n">
        <v>46087</v>
      </c>
      <c r="B266" s="5" t="s">
        <v>350</v>
      </c>
      <c r="C266" s="5" t="s">
        <v>56</v>
      </c>
      <c r="D266" s="5" t="s">
        <v>57</v>
      </c>
      <c r="E266" s="5" t="s">
        <v>58</v>
      </c>
      <c r="F266" s="5" t="s">
        <v>96</v>
      </c>
      <c r="G266" s="5" t="n">
        <v>3001</v>
      </c>
      <c r="H266" s="12" t="n">
        <v>2.1</v>
      </c>
      <c r="I266" s="12" t="n">
        <v>6302.1</v>
      </c>
      <c r="J266" s="12" t="n">
        <v>2760.92</v>
      </c>
      <c r="K266" s="12" t="n">
        <f aca="false">I266-J266</f>
        <v>3541.18</v>
      </c>
    </row>
    <row r="267" customFormat="false" ht="15" hidden="false" customHeight="false" outlineLevel="0" collapsed="false">
      <c r="A267" s="11" t="n">
        <v>46087</v>
      </c>
      <c r="B267" s="5" t="s">
        <v>351</v>
      </c>
      <c r="C267" s="5" t="s">
        <v>63</v>
      </c>
      <c r="D267" s="5" t="s">
        <v>64</v>
      </c>
      <c r="E267" s="5" t="s">
        <v>65</v>
      </c>
      <c r="F267" s="5" t="s">
        <v>88</v>
      </c>
      <c r="G267" s="5" t="n">
        <v>715</v>
      </c>
      <c r="H267" s="12" t="n">
        <v>11.5</v>
      </c>
      <c r="I267" s="12" t="n">
        <v>8222.5</v>
      </c>
      <c r="J267" s="12" t="n">
        <v>3646.5</v>
      </c>
      <c r="K267" s="12" t="n">
        <f aca="false">I267-J267</f>
        <v>4576</v>
      </c>
    </row>
    <row r="268" customFormat="false" ht="15" hidden="false" customHeight="false" outlineLevel="0" collapsed="false">
      <c r="A268" s="11" t="n">
        <v>46087</v>
      </c>
      <c r="B268" s="5" t="s">
        <v>352</v>
      </c>
      <c r="C268" s="5" t="s">
        <v>99</v>
      </c>
      <c r="D268" s="5" t="s">
        <v>69</v>
      </c>
      <c r="E268" s="5" t="s">
        <v>70</v>
      </c>
      <c r="F268" s="5" t="s">
        <v>71</v>
      </c>
      <c r="G268" s="5" t="n">
        <v>1466</v>
      </c>
      <c r="H268" s="12" t="n">
        <v>2.83</v>
      </c>
      <c r="I268" s="12" t="n">
        <v>4148.78</v>
      </c>
      <c r="J268" s="12" t="n">
        <v>1905.8</v>
      </c>
      <c r="K268" s="12" t="n">
        <f aca="false">I268-J268</f>
        <v>2242.98</v>
      </c>
    </row>
    <row r="269" customFormat="false" ht="15" hidden="false" customHeight="false" outlineLevel="0" collapsed="false">
      <c r="A269" s="11" t="n">
        <v>46087</v>
      </c>
      <c r="B269" s="5" t="s">
        <v>353</v>
      </c>
      <c r="C269" s="5" t="s">
        <v>81</v>
      </c>
      <c r="D269" s="5" t="s">
        <v>64</v>
      </c>
      <c r="E269" s="5" t="s">
        <v>70</v>
      </c>
      <c r="F269" s="5" t="s">
        <v>71</v>
      </c>
      <c r="G269" s="5" t="n">
        <v>1933</v>
      </c>
      <c r="H269" s="12" t="n">
        <v>2.95</v>
      </c>
      <c r="I269" s="12" t="n">
        <v>5702.35</v>
      </c>
      <c r="J269" s="12" t="n">
        <v>2512.9</v>
      </c>
      <c r="K269" s="12" t="n">
        <f aca="false">I269-J269</f>
        <v>3189.45</v>
      </c>
    </row>
    <row r="270" customFormat="false" ht="15" hidden="false" customHeight="false" outlineLevel="0" collapsed="false">
      <c r="A270" s="11" t="n">
        <v>46087</v>
      </c>
      <c r="B270" s="5" t="s">
        <v>354</v>
      </c>
      <c r="C270" s="5" t="s">
        <v>63</v>
      </c>
      <c r="D270" s="5" t="s">
        <v>64</v>
      </c>
      <c r="E270" s="5" t="s">
        <v>70</v>
      </c>
      <c r="F270" s="5" t="s">
        <v>71</v>
      </c>
      <c r="G270" s="5" t="n">
        <v>2097</v>
      </c>
      <c r="H270" s="12" t="n">
        <v>2.95</v>
      </c>
      <c r="I270" s="12" t="n">
        <v>6186.15</v>
      </c>
      <c r="J270" s="12" t="n">
        <v>2726.1</v>
      </c>
      <c r="K270" s="12" t="n">
        <f aca="false">I270-J270</f>
        <v>3460.05</v>
      </c>
    </row>
    <row r="271" customFormat="false" ht="15" hidden="false" customHeight="false" outlineLevel="0" collapsed="false">
      <c r="A271" s="11" t="n">
        <v>46087</v>
      </c>
      <c r="B271" s="5" t="s">
        <v>355</v>
      </c>
      <c r="C271" s="5" t="s">
        <v>68</v>
      </c>
      <c r="D271" s="5" t="s">
        <v>69</v>
      </c>
      <c r="E271" s="5" t="s">
        <v>70</v>
      </c>
      <c r="F271" s="5" t="s">
        <v>71</v>
      </c>
      <c r="G271" s="5" t="n">
        <v>838</v>
      </c>
      <c r="H271" s="12" t="n">
        <v>2.95</v>
      </c>
      <c r="I271" s="12" t="n">
        <v>2472.1</v>
      </c>
      <c r="J271" s="12" t="n">
        <v>1089.4</v>
      </c>
      <c r="K271" s="12" t="n">
        <f aca="false">I271-J271</f>
        <v>1382.7</v>
      </c>
    </row>
    <row r="272" customFormat="false" ht="15" hidden="false" customHeight="false" outlineLevel="0" collapsed="false">
      <c r="A272" s="11" t="n">
        <v>46087</v>
      </c>
      <c r="B272" s="5" t="s">
        <v>356</v>
      </c>
      <c r="C272" s="5" t="s">
        <v>85</v>
      </c>
      <c r="D272" s="5" t="s">
        <v>69</v>
      </c>
      <c r="E272" s="5" t="s">
        <v>70</v>
      </c>
      <c r="F272" s="5" t="s">
        <v>71</v>
      </c>
      <c r="G272" s="5" t="n">
        <v>446</v>
      </c>
      <c r="H272" s="12" t="n">
        <v>2.95</v>
      </c>
      <c r="I272" s="12" t="n">
        <v>1315.7</v>
      </c>
      <c r="J272" s="12" t="n">
        <v>579.8</v>
      </c>
      <c r="K272" s="12" t="n">
        <f aca="false">I272-J272</f>
        <v>735.9</v>
      </c>
    </row>
    <row r="273" customFormat="false" ht="15" hidden="false" customHeight="false" outlineLevel="0" collapsed="false">
      <c r="A273" s="11" t="n">
        <v>46088</v>
      </c>
      <c r="B273" s="5" t="s">
        <v>357</v>
      </c>
      <c r="C273" s="5" t="s">
        <v>81</v>
      </c>
      <c r="D273" s="5" t="s">
        <v>64</v>
      </c>
      <c r="E273" s="5" t="s">
        <v>58</v>
      </c>
      <c r="F273" s="5" t="s">
        <v>61</v>
      </c>
      <c r="G273" s="5" t="n">
        <v>597</v>
      </c>
      <c r="H273" s="12" t="n">
        <v>24.5</v>
      </c>
      <c r="I273" s="12" t="n">
        <v>14626.5</v>
      </c>
      <c r="J273" s="12" t="n">
        <v>7044.6</v>
      </c>
      <c r="K273" s="12" t="n">
        <f aca="false">I273-J273</f>
        <v>7581.9</v>
      </c>
    </row>
    <row r="274" customFormat="false" ht="15" hidden="false" customHeight="false" outlineLevel="0" collapsed="false">
      <c r="A274" s="11" t="n">
        <v>46088</v>
      </c>
      <c r="B274" s="5" t="s">
        <v>358</v>
      </c>
      <c r="C274" s="5" t="s">
        <v>56</v>
      </c>
      <c r="D274" s="5" t="s">
        <v>57</v>
      </c>
      <c r="E274" s="5" t="s">
        <v>58</v>
      </c>
      <c r="F274" s="5" t="s">
        <v>96</v>
      </c>
      <c r="G274" s="5" t="n">
        <v>3001</v>
      </c>
      <c r="H274" s="12" t="n">
        <v>2.1</v>
      </c>
      <c r="I274" s="12" t="n">
        <v>6302.1</v>
      </c>
      <c r="J274" s="12" t="n">
        <v>2760.92</v>
      </c>
      <c r="K274" s="12" t="n">
        <f aca="false">I274-J274</f>
        <v>3541.18</v>
      </c>
    </row>
    <row r="275" customFormat="false" ht="15" hidden="false" customHeight="false" outlineLevel="0" collapsed="false">
      <c r="A275" s="11" t="n">
        <v>46088</v>
      </c>
      <c r="B275" s="5" t="s">
        <v>359</v>
      </c>
      <c r="C275" s="5" t="s">
        <v>81</v>
      </c>
      <c r="D275" s="5" t="s">
        <v>64</v>
      </c>
      <c r="E275" s="5" t="s">
        <v>75</v>
      </c>
      <c r="F275" s="5" t="s">
        <v>83</v>
      </c>
      <c r="G275" s="5" t="n">
        <v>1107</v>
      </c>
      <c r="H275" s="12" t="n">
        <v>4.2</v>
      </c>
      <c r="I275" s="12" t="n">
        <v>4649.4</v>
      </c>
      <c r="J275" s="12" t="n">
        <v>2047.95</v>
      </c>
      <c r="K275" s="12" t="n">
        <f aca="false">I275-J275</f>
        <v>2601.45</v>
      </c>
    </row>
    <row r="276" customFormat="false" ht="15" hidden="false" customHeight="false" outlineLevel="0" collapsed="false">
      <c r="A276" s="11" t="n">
        <v>46088</v>
      </c>
      <c r="B276" s="5" t="s">
        <v>360</v>
      </c>
      <c r="C276" s="5" t="s">
        <v>56</v>
      </c>
      <c r="D276" s="5" t="s">
        <v>57</v>
      </c>
      <c r="E276" s="5" t="s">
        <v>75</v>
      </c>
      <c r="F276" s="5" t="s">
        <v>78</v>
      </c>
      <c r="G276" s="5" t="n">
        <v>315</v>
      </c>
      <c r="H276" s="12" t="n">
        <v>6.1</v>
      </c>
      <c r="I276" s="12" t="n">
        <v>1921.5</v>
      </c>
      <c r="J276" s="12" t="n">
        <v>819</v>
      </c>
      <c r="K276" s="12" t="n">
        <f aca="false">I276-J276</f>
        <v>1102.5</v>
      </c>
    </row>
    <row r="277" customFormat="false" ht="15" hidden="false" customHeight="false" outlineLevel="0" collapsed="false">
      <c r="A277" s="11" t="n">
        <v>46088</v>
      </c>
      <c r="B277" s="5" t="s">
        <v>361</v>
      </c>
      <c r="C277" s="5" t="s">
        <v>81</v>
      </c>
      <c r="D277" s="5" t="s">
        <v>64</v>
      </c>
      <c r="E277" s="5" t="s">
        <v>65</v>
      </c>
      <c r="F277" s="5" t="s">
        <v>66</v>
      </c>
      <c r="G277" s="5" t="n">
        <v>282</v>
      </c>
      <c r="H277" s="12" t="n">
        <v>24.9</v>
      </c>
      <c r="I277" s="12" t="n">
        <v>7021.8</v>
      </c>
      <c r="J277" s="12" t="n">
        <v>3214.8</v>
      </c>
      <c r="K277" s="12" t="n">
        <f aca="false">I277-J277</f>
        <v>3807</v>
      </c>
    </row>
    <row r="278" customFormat="false" ht="15" hidden="false" customHeight="false" outlineLevel="0" collapsed="false">
      <c r="A278" s="11" t="n">
        <v>46088</v>
      </c>
      <c r="B278" s="5" t="s">
        <v>362</v>
      </c>
      <c r="C278" s="5" t="s">
        <v>56</v>
      </c>
      <c r="D278" s="5" t="s">
        <v>57</v>
      </c>
      <c r="E278" s="5" t="s">
        <v>65</v>
      </c>
      <c r="F278" s="5" t="s">
        <v>103</v>
      </c>
      <c r="G278" s="5" t="n">
        <v>436</v>
      </c>
      <c r="H278" s="12" t="n">
        <v>15.2</v>
      </c>
      <c r="I278" s="12" t="n">
        <v>6627.2</v>
      </c>
      <c r="J278" s="12" t="n">
        <v>2964.8</v>
      </c>
      <c r="K278" s="12" t="n">
        <f aca="false">I278-J278</f>
        <v>3662.4</v>
      </c>
    </row>
    <row r="279" customFormat="false" ht="15" hidden="false" customHeight="false" outlineLevel="0" collapsed="false">
      <c r="A279" s="11" t="n">
        <v>46089</v>
      </c>
      <c r="B279" s="5" t="s">
        <v>363</v>
      </c>
      <c r="C279" s="5" t="s">
        <v>99</v>
      </c>
      <c r="D279" s="5" t="s">
        <v>69</v>
      </c>
      <c r="E279" s="5" t="s">
        <v>75</v>
      </c>
      <c r="F279" s="5" t="s">
        <v>83</v>
      </c>
      <c r="G279" s="5" t="n">
        <v>749</v>
      </c>
      <c r="H279" s="12" t="n">
        <v>4.03</v>
      </c>
      <c r="I279" s="12" t="n">
        <v>3018.47</v>
      </c>
      <c r="J279" s="12" t="n">
        <v>1385.65</v>
      </c>
      <c r="K279" s="12" t="n">
        <f aca="false">I279-J279</f>
        <v>1632.82</v>
      </c>
    </row>
    <row r="280" customFormat="false" ht="15" hidden="false" customHeight="false" outlineLevel="0" collapsed="false">
      <c r="A280" s="11" t="n">
        <v>46089</v>
      </c>
      <c r="B280" s="5" t="s">
        <v>364</v>
      </c>
      <c r="C280" s="5" t="s">
        <v>85</v>
      </c>
      <c r="D280" s="5" t="s">
        <v>69</v>
      </c>
      <c r="E280" s="5" t="s">
        <v>75</v>
      </c>
      <c r="F280" s="5" t="s">
        <v>78</v>
      </c>
      <c r="G280" s="5" t="n">
        <v>109</v>
      </c>
      <c r="H280" s="12" t="n">
        <v>6.1</v>
      </c>
      <c r="I280" s="12" t="n">
        <v>664.9</v>
      </c>
      <c r="J280" s="12" t="n">
        <v>283.4</v>
      </c>
      <c r="K280" s="12" t="n">
        <f aca="false">I280-J280</f>
        <v>381.5</v>
      </c>
    </row>
    <row r="281" customFormat="false" ht="15" hidden="false" customHeight="false" outlineLevel="0" collapsed="false">
      <c r="A281" s="11" t="n">
        <v>46089</v>
      </c>
      <c r="B281" s="5" t="s">
        <v>365</v>
      </c>
      <c r="C281" s="5" t="s">
        <v>85</v>
      </c>
      <c r="D281" s="5" t="s">
        <v>69</v>
      </c>
      <c r="E281" s="5" t="s">
        <v>65</v>
      </c>
      <c r="F281" s="5" t="s">
        <v>66</v>
      </c>
      <c r="G281" s="5" t="n">
        <v>65</v>
      </c>
      <c r="H281" s="12" t="n">
        <v>24.9</v>
      </c>
      <c r="I281" s="12" t="n">
        <v>1618.5</v>
      </c>
      <c r="J281" s="12" t="n">
        <v>741</v>
      </c>
      <c r="K281" s="12" t="n">
        <f aca="false">I281-J281</f>
        <v>877.5</v>
      </c>
    </row>
    <row r="282" customFormat="false" ht="15" hidden="false" customHeight="false" outlineLevel="0" collapsed="false">
      <c r="A282" s="11" t="n">
        <v>46090</v>
      </c>
      <c r="B282" s="5" t="s">
        <v>366</v>
      </c>
      <c r="C282" s="5" t="s">
        <v>94</v>
      </c>
      <c r="D282" s="5" t="s">
        <v>95</v>
      </c>
      <c r="E282" s="5" t="s">
        <v>65</v>
      </c>
      <c r="F282" s="5" t="s">
        <v>88</v>
      </c>
      <c r="G282" s="5" t="n">
        <v>292</v>
      </c>
      <c r="H282" s="12" t="n">
        <v>11.5</v>
      </c>
      <c r="I282" s="12" t="n">
        <v>3358</v>
      </c>
      <c r="J282" s="12" t="n">
        <v>1489.2</v>
      </c>
      <c r="K282" s="12" t="n">
        <f aca="false">I282-J282</f>
        <v>1868.8</v>
      </c>
    </row>
    <row r="283" customFormat="false" ht="15" hidden="false" customHeight="false" outlineLevel="0" collapsed="false">
      <c r="A283" s="11" t="n">
        <v>46091</v>
      </c>
      <c r="B283" s="5" t="s">
        <v>367</v>
      </c>
      <c r="C283" s="5" t="s">
        <v>63</v>
      </c>
      <c r="D283" s="5" t="s">
        <v>64</v>
      </c>
      <c r="E283" s="5" t="s">
        <v>58</v>
      </c>
      <c r="F283" s="5" t="s">
        <v>117</v>
      </c>
      <c r="G283" s="5" t="n">
        <v>6949</v>
      </c>
      <c r="H283" s="12" t="n">
        <v>3.4</v>
      </c>
      <c r="I283" s="12" t="n">
        <v>23626.6</v>
      </c>
      <c r="J283" s="12" t="n">
        <v>10076.05</v>
      </c>
      <c r="K283" s="12" t="n">
        <f aca="false">I283-J283</f>
        <v>13550.55</v>
      </c>
    </row>
    <row r="284" customFormat="false" ht="15" hidden="false" customHeight="false" outlineLevel="0" collapsed="false">
      <c r="A284" s="11" t="n">
        <v>46091</v>
      </c>
      <c r="B284" s="5" t="s">
        <v>368</v>
      </c>
      <c r="C284" s="5" t="s">
        <v>68</v>
      </c>
      <c r="D284" s="5" t="s">
        <v>69</v>
      </c>
      <c r="E284" s="5" t="s">
        <v>58</v>
      </c>
      <c r="F284" s="5" t="s">
        <v>59</v>
      </c>
      <c r="G284" s="5" t="n">
        <v>1083</v>
      </c>
      <c r="H284" s="12" t="n">
        <v>3.9</v>
      </c>
      <c r="I284" s="12" t="n">
        <v>4223.7</v>
      </c>
      <c r="J284" s="12" t="n">
        <v>1841.1</v>
      </c>
      <c r="K284" s="12" t="n">
        <f aca="false">I284-J284</f>
        <v>2382.6</v>
      </c>
    </row>
    <row r="285" customFormat="false" ht="15" hidden="false" customHeight="false" outlineLevel="0" collapsed="false">
      <c r="A285" s="11" t="n">
        <v>46091</v>
      </c>
      <c r="B285" s="5" t="s">
        <v>369</v>
      </c>
      <c r="C285" s="5" t="s">
        <v>87</v>
      </c>
      <c r="D285" s="5" t="s">
        <v>64</v>
      </c>
      <c r="E285" s="5" t="s">
        <v>75</v>
      </c>
      <c r="F285" s="5" t="s">
        <v>83</v>
      </c>
      <c r="G285" s="5" t="n">
        <v>371</v>
      </c>
      <c r="H285" s="12" t="n">
        <v>4.2</v>
      </c>
      <c r="I285" s="12" t="n">
        <v>1558.2</v>
      </c>
      <c r="J285" s="12" t="n">
        <v>686.35</v>
      </c>
      <c r="K285" s="12" t="n">
        <f aca="false">I285-J285</f>
        <v>871.85</v>
      </c>
    </row>
    <row r="286" customFormat="false" ht="15" hidden="false" customHeight="false" outlineLevel="0" collapsed="false">
      <c r="A286" s="11" t="n">
        <v>46091</v>
      </c>
      <c r="B286" s="5" t="s">
        <v>370</v>
      </c>
      <c r="C286" s="5" t="s">
        <v>115</v>
      </c>
      <c r="D286" s="5" t="s">
        <v>69</v>
      </c>
      <c r="E286" s="5" t="s">
        <v>75</v>
      </c>
      <c r="F286" s="5" t="s">
        <v>83</v>
      </c>
      <c r="G286" s="5" t="n">
        <v>233</v>
      </c>
      <c r="H286" s="12" t="n">
        <v>4.2</v>
      </c>
      <c r="I286" s="12" t="n">
        <v>978.6</v>
      </c>
      <c r="J286" s="12" t="n">
        <v>431.05</v>
      </c>
      <c r="K286" s="12" t="n">
        <f aca="false">I286-J286</f>
        <v>547.55</v>
      </c>
    </row>
    <row r="287" customFormat="false" ht="15" hidden="false" customHeight="false" outlineLevel="0" collapsed="false">
      <c r="A287" s="11" t="n">
        <v>46091</v>
      </c>
      <c r="B287" s="5" t="s">
        <v>371</v>
      </c>
      <c r="C287" s="5" t="s">
        <v>68</v>
      </c>
      <c r="D287" s="5" t="s">
        <v>69</v>
      </c>
      <c r="E287" s="5" t="s">
        <v>75</v>
      </c>
      <c r="F287" s="5" t="s">
        <v>78</v>
      </c>
      <c r="G287" s="5" t="n">
        <v>214</v>
      </c>
      <c r="H287" s="12" t="n">
        <v>6.1</v>
      </c>
      <c r="I287" s="12" t="n">
        <v>1305.4</v>
      </c>
      <c r="J287" s="12" t="n">
        <v>556.4</v>
      </c>
      <c r="K287" s="12" t="n">
        <f aca="false">I287-J287</f>
        <v>749</v>
      </c>
    </row>
    <row r="288" customFormat="false" ht="15" hidden="false" customHeight="false" outlineLevel="0" collapsed="false">
      <c r="A288" s="11" t="n">
        <v>46091</v>
      </c>
      <c r="B288" s="5" t="s">
        <v>372</v>
      </c>
      <c r="C288" s="5" t="s">
        <v>99</v>
      </c>
      <c r="D288" s="5" t="s">
        <v>69</v>
      </c>
      <c r="E288" s="5" t="s">
        <v>65</v>
      </c>
      <c r="F288" s="5" t="s">
        <v>66</v>
      </c>
      <c r="G288" s="5" t="n">
        <v>305</v>
      </c>
      <c r="H288" s="12" t="n">
        <v>23.9</v>
      </c>
      <c r="I288" s="12" t="n">
        <v>7289.5</v>
      </c>
      <c r="J288" s="12" t="n">
        <v>3477</v>
      </c>
      <c r="K288" s="12" t="n">
        <f aca="false">I288-J288</f>
        <v>3812.5</v>
      </c>
    </row>
    <row r="289" customFormat="false" ht="15" hidden="false" customHeight="false" outlineLevel="0" collapsed="false">
      <c r="A289" s="11" t="n">
        <v>46091</v>
      </c>
      <c r="B289" s="5" t="s">
        <v>373</v>
      </c>
      <c r="C289" s="5" t="s">
        <v>73</v>
      </c>
      <c r="D289" s="5" t="s">
        <v>64</v>
      </c>
      <c r="E289" s="5" t="s">
        <v>70</v>
      </c>
      <c r="F289" s="5" t="s">
        <v>90</v>
      </c>
      <c r="G289" s="5" t="n">
        <v>1527</v>
      </c>
      <c r="H289" s="12" t="n">
        <v>2.59</v>
      </c>
      <c r="I289" s="12" t="n">
        <v>3954.93</v>
      </c>
      <c r="J289" s="12" t="n">
        <v>1832.4</v>
      </c>
      <c r="K289" s="12" t="n">
        <f aca="false">I289-J289</f>
        <v>2122.53</v>
      </c>
    </row>
    <row r="290" customFormat="false" ht="15" hidden="false" customHeight="false" outlineLevel="0" collapsed="false">
      <c r="A290" s="11" t="n">
        <v>46092</v>
      </c>
      <c r="B290" s="5" t="s">
        <v>374</v>
      </c>
      <c r="C290" s="5" t="s">
        <v>63</v>
      </c>
      <c r="D290" s="5" t="s">
        <v>64</v>
      </c>
      <c r="E290" s="5" t="s">
        <v>75</v>
      </c>
      <c r="F290" s="5" t="s">
        <v>78</v>
      </c>
      <c r="G290" s="5" t="n">
        <v>384</v>
      </c>
      <c r="H290" s="12" t="n">
        <v>6.1</v>
      </c>
      <c r="I290" s="12" t="n">
        <v>2342.4</v>
      </c>
      <c r="J290" s="12" t="n">
        <v>998.4</v>
      </c>
      <c r="K290" s="12" t="n">
        <f aca="false">I290-J290</f>
        <v>1344</v>
      </c>
    </row>
    <row r="291" customFormat="false" ht="15" hidden="false" customHeight="false" outlineLevel="0" collapsed="false">
      <c r="A291" s="11" t="n">
        <v>46092</v>
      </c>
      <c r="B291" s="5" t="s">
        <v>375</v>
      </c>
      <c r="C291" s="5" t="s">
        <v>115</v>
      </c>
      <c r="D291" s="5" t="s">
        <v>69</v>
      </c>
      <c r="E291" s="5" t="s">
        <v>65</v>
      </c>
      <c r="F291" s="5" t="s">
        <v>103</v>
      </c>
      <c r="G291" s="5" t="n">
        <v>125</v>
      </c>
      <c r="H291" s="12" t="n">
        <v>15.2</v>
      </c>
      <c r="I291" s="12" t="n">
        <v>1900</v>
      </c>
      <c r="J291" s="12" t="n">
        <v>850</v>
      </c>
      <c r="K291" s="12" t="n">
        <f aca="false">I291-J291</f>
        <v>1050</v>
      </c>
    </row>
    <row r="292" customFormat="false" ht="15" hidden="false" customHeight="false" outlineLevel="0" collapsed="false">
      <c r="A292" s="11" t="n">
        <v>46092</v>
      </c>
      <c r="B292" s="5" t="s">
        <v>376</v>
      </c>
      <c r="C292" s="5" t="s">
        <v>63</v>
      </c>
      <c r="D292" s="5" t="s">
        <v>64</v>
      </c>
      <c r="E292" s="5" t="s">
        <v>70</v>
      </c>
      <c r="F292" s="5" t="s">
        <v>90</v>
      </c>
      <c r="G292" s="5" t="n">
        <v>2292</v>
      </c>
      <c r="H292" s="12" t="n">
        <v>2.7</v>
      </c>
      <c r="I292" s="12" t="n">
        <v>6188.4</v>
      </c>
      <c r="J292" s="12" t="n">
        <v>2750.4</v>
      </c>
      <c r="K292" s="12" t="n">
        <f aca="false">I292-J292</f>
        <v>3438</v>
      </c>
    </row>
    <row r="293" customFormat="false" ht="15" hidden="false" customHeight="false" outlineLevel="0" collapsed="false">
      <c r="A293" s="11" t="n">
        <v>46092</v>
      </c>
      <c r="B293" s="5" t="s">
        <v>377</v>
      </c>
      <c r="C293" s="5" t="s">
        <v>68</v>
      </c>
      <c r="D293" s="5" t="s">
        <v>69</v>
      </c>
      <c r="E293" s="5" t="s">
        <v>70</v>
      </c>
      <c r="F293" s="5" t="s">
        <v>71</v>
      </c>
      <c r="G293" s="5" t="n">
        <v>838</v>
      </c>
      <c r="H293" s="12" t="n">
        <v>2.95</v>
      </c>
      <c r="I293" s="12" t="n">
        <v>2472.1</v>
      </c>
      <c r="J293" s="12" t="n">
        <v>1089.4</v>
      </c>
      <c r="K293" s="12" t="n">
        <f aca="false">I293-J293</f>
        <v>1382.7</v>
      </c>
    </row>
    <row r="294" customFormat="false" ht="15" hidden="false" customHeight="false" outlineLevel="0" collapsed="false">
      <c r="A294" s="11" t="n">
        <v>46093</v>
      </c>
      <c r="B294" s="5" t="s">
        <v>378</v>
      </c>
      <c r="C294" s="5" t="s">
        <v>115</v>
      </c>
      <c r="D294" s="5" t="s">
        <v>69</v>
      </c>
      <c r="E294" s="5" t="s">
        <v>58</v>
      </c>
      <c r="F294" s="5" t="s">
        <v>96</v>
      </c>
      <c r="G294" s="5" t="n">
        <v>3710</v>
      </c>
      <c r="H294" s="12" t="n">
        <v>2.1</v>
      </c>
      <c r="I294" s="12" t="n">
        <v>7791</v>
      </c>
      <c r="J294" s="12" t="n">
        <v>3413.2</v>
      </c>
      <c r="K294" s="12" t="n">
        <f aca="false">I294-J294</f>
        <v>4377.8</v>
      </c>
    </row>
    <row r="295" customFormat="false" ht="15" hidden="false" customHeight="false" outlineLevel="0" collapsed="false">
      <c r="A295" s="11" t="n">
        <v>46093</v>
      </c>
      <c r="B295" s="5" t="s">
        <v>379</v>
      </c>
      <c r="C295" s="5" t="s">
        <v>63</v>
      </c>
      <c r="D295" s="5" t="s">
        <v>64</v>
      </c>
      <c r="E295" s="5" t="s">
        <v>75</v>
      </c>
      <c r="F295" s="5" t="s">
        <v>76</v>
      </c>
      <c r="G295" s="5" t="n">
        <v>489</v>
      </c>
      <c r="H295" s="12" t="n">
        <v>4.8</v>
      </c>
      <c r="I295" s="12" t="n">
        <v>2347.2</v>
      </c>
      <c r="J295" s="12" t="n">
        <v>1002.45</v>
      </c>
      <c r="K295" s="12" t="n">
        <f aca="false">I295-J295</f>
        <v>1344.75</v>
      </c>
    </row>
    <row r="296" customFormat="false" ht="15" hidden="false" customHeight="false" outlineLevel="0" collapsed="false">
      <c r="A296" s="11" t="n">
        <v>46093</v>
      </c>
      <c r="B296" s="5" t="s">
        <v>380</v>
      </c>
      <c r="C296" s="5" t="s">
        <v>87</v>
      </c>
      <c r="D296" s="5" t="s">
        <v>64</v>
      </c>
      <c r="E296" s="5" t="s">
        <v>75</v>
      </c>
      <c r="F296" s="5" t="s">
        <v>78</v>
      </c>
      <c r="G296" s="5" t="n">
        <v>255</v>
      </c>
      <c r="H296" s="12" t="n">
        <v>6.1</v>
      </c>
      <c r="I296" s="12" t="n">
        <v>1555.5</v>
      </c>
      <c r="J296" s="12" t="n">
        <v>663</v>
      </c>
      <c r="K296" s="12" t="n">
        <f aca="false">I296-J296</f>
        <v>892.5</v>
      </c>
    </row>
    <row r="297" customFormat="false" ht="15" hidden="false" customHeight="false" outlineLevel="0" collapsed="false">
      <c r="A297" s="11" t="n">
        <v>46093</v>
      </c>
      <c r="B297" s="5" t="s">
        <v>381</v>
      </c>
      <c r="C297" s="5" t="s">
        <v>85</v>
      </c>
      <c r="D297" s="5" t="s">
        <v>69</v>
      </c>
      <c r="E297" s="5" t="s">
        <v>75</v>
      </c>
      <c r="F297" s="5" t="s">
        <v>83</v>
      </c>
      <c r="G297" s="5" t="n">
        <v>159</v>
      </c>
      <c r="H297" s="12" t="n">
        <v>4.2</v>
      </c>
      <c r="I297" s="12" t="n">
        <v>667.8</v>
      </c>
      <c r="J297" s="12" t="n">
        <v>294.15</v>
      </c>
      <c r="K297" s="12" t="n">
        <f aca="false">I297-J297</f>
        <v>373.65</v>
      </c>
    </row>
    <row r="298" customFormat="false" ht="15" hidden="false" customHeight="false" outlineLevel="0" collapsed="false">
      <c r="A298" s="11" t="n">
        <v>46093</v>
      </c>
      <c r="B298" s="5" t="s">
        <v>382</v>
      </c>
      <c r="C298" s="5" t="s">
        <v>87</v>
      </c>
      <c r="D298" s="5" t="s">
        <v>64</v>
      </c>
      <c r="E298" s="5" t="s">
        <v>65</v>
      </c>
      <c r="F298" s="5" t="s">
        <v>103</v>
      </c>
      <c r="G298" s="5" t="n">
        <v>333</v>
      </c>
      <c r="H298" s="12" t="n">
        <v>15.2</v>
      </c>
      <c r="I298" s="12" t="n">
        <v>5061.6</v>
      </c>
      <c r="J298" s="12" t="n">
        <v>2264.4</v>
      </c>
      <c r="K298" s="12" t="n">
        <f aca="false">I298-J298</f>
        <v>2797.2</v>
      </c>
    </row>
    <row r="299" customFormat="false" ht="15" hidden="false" customHeight="false" outlineLevel="0" collapsed="false">
      <c r="A299" s="11" t="n">
        <v>46093</v>
      </c>
      <c r="B299" s="5" t="s">
        <v>383</v>
      </c>
      <c r="C299" s="5" t="s">
        <v>94</v>
      </c>
      <c r="D299" s="5" t="s">
        <v>95</v>
      </c>
      <c r="E299" s="5" t="s">
        <v>70</v>
      </c>
      <c r="F299" s="5" t="s">
        <v>92</v>
      </c>
      <c r="G299" s="5" t="n">
        <v>1060</v>
      </c>
      <c r="H299" s="12" t="n">
        <v>2.4</v>
      </c>
      <c r="I299" s="12" t="n">
        <v>2544</v>
      </c>
      <c r="J299" s="12" t="n">
        <v>1007</v>
      </c>
      <c r="K299" s="12" t="n">
        <f aca="false">I299-J299</f>
        <v>1537</v>
      </c>
    </row>
    <row r="300" customFormat="false" ht="15" hidden="false" customHeight="false" outlineLevel="0" collapsed="false">
      <c r="A300" s="11" t="n">
        <v>46093</v>
      </c>
      <c r="B300" s="5" t="s">
        <v>384</v>
      </c>
      <c r="C300" s="5" t="s">
        <v>115</v>
      </c>
      <c r="D300" s="5" t="s">
        <v>69</v>
      </c>
      <c r="E300" s="5" t="s">
        <v>70</v>
      </c>
      <c r="F300" s="5" t="s">
        <v>90</v>
      </c>
      <c r="G300" s="5" t="n">
        <v>719</v>
      </c>
      <c r="H300" s="12" t="n">
        <v>2.7</v>
      </c>
      <c r="I300" s="12" t="n">
        <v>1941.3</v>
      </c>
      <c r="J300" s="12" t="n">
        <v>862.8</v>
      </c>
      <c r="K300" s="12" t="n">
        <f aca="false">I300-J300</f>
        <v>1078.5</v>
      </c>
    </row>
    <row r="301" customFormat="false" ht="15" hidden="false" customHeight="false" outlineLevel="0" collapsed="false">
      <c r="A301" s="11" t="n">
        <v>46094</v>
      </c>
      <c r="B301" s="5" t="s">
        <v>385</v>
      </c>
      <c r="C301" s="5" t="s">
        <v>63</v>
      </c>
      <c r="D301" s="5" t="s">
        <v>64</v>
      </c>
      <c r="E301" s="5" t="s">
        <v>75</v>
      </c>
      <c r="F301" s="5" t="s">
        <v>83</v>
      </c>
      <c r="G301" s="5" t="n">
        <v>558</v>
      </c>
      <c r="H301" s="12" t="n">
        <v>4.2</v>
      </c>
      <c r="I301" s="12" t="n">
        <v>2343.6</v>
      </c>
      <c r="J301" s="12" t="n">
        <v>1032.3</v>
      </c>
      <c r="K301" s="12" t="n">
        <f aca="false">I301-J301</f>
        <v>1311.3</v>
      </c>
    </row>
    <row r="302" customFormat="false" ht="15" hidden="false" customHeight="false" outlineLevel="0" collapsed="false">
      <c r="A302" s="11" t="n">
        <v>46094</v>
      </c>
      <c r="B302" s="5" t="s">
        <v>386</v>
      </c>
      <c r="C302" s="5" t="s">
        <v>115</v>
      </c>
      <c r="D302" s="5" t="s">
        <v>69</v>
      </c>
      <c r="E302" s="5" t="s">
        <v>75</v>
      </c>
      <c r="F302" s="5" t="s">
        <v>78</v>
      </c>
      <c r="G302" s="5" t="n">
        <v>160</v>
      </c>
      <c r="H302" s="12" t="n">
        <v>6.1</v>
      </c>
      <c r="I302" s="12" t="n">
        <v>976</v>
      </c>
      <c r="J302" s="12" t="n">
        <v>416</v>
      </c>
      <c r="K302" s="12" t="n">
        <f aca="false">I302-J302</f>
        <v>560</v>
      </c>
    </row>
    <row r="303" customFormat="false" ht="15" hidden="false" customHeight="false" outlineLevel="0" collapsed="false">
      <c r="A303" s="11" t="n">
        <v>46094</v>
      </c>
      <c r="B303" s="5" t="s">
        <v>387</v>
      </c>
      <c r="C303" s="5" t="s">
        <v>68</v>
      </c>
      <c r="D303" s="5" t="s">
        <v>69</v>
      </c>
      <c r="E303" s="5" t="s">
        <v>65</v>
      </c>
      <c r="F303" s="5" t="s">
        <v>66</v>
      </c>
      <c r="G303" s="5" t="n">
        <v>122</v>
      </c>
      <c r="H303" s="12" t="n">
        <v>24.9</v>
      </c>
      <c r="I303" s="12" t="n">
        <v>3037.8</v>
      </c>
      <c r="J303" s="12" t="n">
        <v>1390.8</v>
      </c>
      <c r="K303" s="12" t="n">
        <f aca="false">I303-J303</f>
        <v>1647</v>
      </c>
    </row>
    <row r="304" customFormat="false" ht="15" hidden="false" customHeight="false" outlineLevel="0" collapsed="false">
      <c r="A304" s="11" t="n">
        <v>46095</v>
      </c>
      <c r="B304" s="5" t="s">
        <v>388</v>
      </c>
      <c r="C304" s="5" t="s">
        <v>94</v>
      </c>
      <c r="D304" s="5" t="s">
        <v>95</v>
      </c>
      <c r="E304" s="5" t="s">
        <v>58</v>
      </c>
      <c r="F304" s="5" t="s">
        <v>59</v>
      </c>
      <c r="G304" s="5" t="n">
        <v>2435</v>
      </c>
      <c r="H304" s="12" t="n">
        <v>3.9</v>
      </c>
      <c r="I304" s="12" t="n">
        <v>9496.5</v>
      </c>
      <c r="J304" s="12" t="n">
        <v>4139.5</v>
      </c>
      <c r="K304" s="12" t="n">
        <f aca="false">I304-J304</f>
        <v>5357</v>
      </c>
    </row>
    <row r="305" customFormat="false" ht="15" hidden="false" customHeight="false" outlineLevel="0" collapsed="false">
      <c r="A305" s="11" t="n">
        <v>46095</v>
      </c>
      <c r="B305" s="5" t="s">
        <v>389</v>
      </c>
      <c r="C305" s="5" t="s">
        <v>81</v>
      </c>
      <c r="D305" s="5" t="s">
        <v>64</v>
      </c>
      <c r="E305" s="5" t="s">
        <v>65</v>
      </c>
      <c r="F305" s="5" t="s">
        <v>88</v>
      </c>
      <c r="G305" s="5" t="n">
        <v>611</v>
      </c>
      <c r="H305" s="12" t="n">
        <v>11.5</v>
      </c>
      <c r="I305" s="12" t="n">
        <v>7026.5</v>
      </c>
      <c r="J305" s="12" t="n">
        <v>3116.1</v>
      </c>
      <c r="K305" s="12" t="n">
        <f aca="false">I305-J305</f>
        <v>3910.4</v>
      </c>
    </row>
    <row r="306" customFormat="false" ht="15" hidden="false" customHeight="false" outlineLevel="0" collapsed="false">
      <c r="A306" s="11" t="n">
        <v>46095</v>
      </c>
      <c r="B306" s="5" t="s">
        <v>390</v>
      </c>
      <c r="C306" s="5" t="s">
        <v>99</v>
      </c>
      <c r="D306" s="5" t="s">
        <v>69</v>
      </c>
      <c r="E306" s="5" t="s">
        <v>70</v>
      </c>
      <c r="F306" s="5" t="s">
        <v>90</v>
      </c>
      <c r="G306" s="5" t="n">
        <v>1602</v>
      </c>
      <c r="H306" s="12" t="n">
        <v>2.59</v>
      </c>
      <c r="I306" s="12" t="n">
        <v>4149.18</v>
      </c>
      <c r="J306" s="12" t="n">
        <v>1922.4</v>
      </c>
      <c r="K306" s="12" t="n">
        <f aca="false">I306-J306</f>
        <v>2226.78</v>
      </c>
    </row>
    <row r="307" customFormat="false" ht="15" hidden="false" customHeight="false" outlineLevel="0" collapsed="false">
      <c r="A307" s="11" t="n">
        <v>46096</v>
      </c>
      <c r="B307" s="5" t="s">
        <v>391</v>
      </c>
      <c r="C307" s="5" t="s">
        <v>87</v>
      </c>
      <c r="D307" s="5" t="s">
        <v>64</v>
      </c>
      <c r="E307" s="5" t="s">
        <v>58</v>
      </c>
      <c r="F307" s="5" t="s">
        <v>117</v>
      </c>
      <c r="G307" s="5" t="n">
        <v>2424</v>
      </c>
      <c r="H307" s="12" t="n">
        <v>3.4</v>
      </c>
      <c r="I307" s="12" t="n">
        <v>8241.6</v>
      </c>
      <c r="J307" s="12" t="n">
        <v>3514.8</v>
      </c>
      <c r="K307" s="12" t="n">
        <f aca="false">I307-J307</f>
        <v>4726.8</v>
      </c>
    </row>
    <row r="308" customFormat="false" ht="15" hidden="false" customHeight="false" outlineLevel="0" collapsed="false">
      <c r="A308" s="11" t="n">
        <v>46096</v>
      </c>
      <c r="B308" s="5" t="s">
        <v>392</v>
      </c>
      <c r="C308" s="5" t="s">
        <v>73</v>
      </c>
      <c r="D308" s="5" t="s">
        <v>64</v>
      </c>
      <c r="E308" s="5" t="s">
        <v>65</v>
      </c>
      <c r="F308" s="5" t="s">
        <v>66</v>
      </c>
      <c r="G308" s="5" t="n">
        <v>265</v>
      </c>
      <c r="H308" s="12" t="n">
        <v>23.9</v>
      </c>
      <c r="I308" s="12" t="n">
        <v>6333.5</v>
      </c>
      <c r="J308" s="12" t="n">
        <v>3021</v>
      </c>
      <c r="K308" s="12" t="n">
        <f aca="false">I308-J308</f>
        <v>3312.5</v>
      </c>
    </row>
    <row r="309" customFormat="false" ht="15" hidden="false" customHeight="false" outlineLevel="0" collapsed="false">
      <c r="A309" s="11" t="n">
        <v>46096</v>
      </c>
      <c r="B309" s="5" t="s">
        <v>393</v>
      </c>
      <c r="C309" s="5" t="s">
        <v>73</v>
      </c>
      <c r="D309" s="5" t="s">
        <v>64</v>
      </c>
      <c r="E309" s="5" t="s">
        <v>70</v>
      </c>
      <c r="F309" s="5" t="s">
        <v>90</v>
      </c>
      <c r="G309" s="5" t="n">
        <v>1527</v>
      </c>
      <c r="H309" s="12" t="n">
        <v>2.59</v>
      </c>
      <c r="I309" s="12" t="n">
        <v>3954.93</v>
      </c>
      <c r="J309" s="12" t="n">
        <v>1832.4</v>
      </c>
      <c r="K309" s="12" t="n">
        <f aca="false">I309-J309</f>
        <v>2122.53</v>
      </c>
    </row>
    <row r="310" customFormat="false" ht="15" hidden="false" customHeight="false" outlineLevel="0" collapsed="false">
      <c r="A310" s="11" t="n">
        <v>46097</v>
      </c>
      <c r="B310" s="5" t="s">
        <v>394</v>
      </c>
      <c r="C310" s="5" t="s">
        <v>99</v>
      </c>
      <c r="D310" s="5" t="s">
        <v>69</v>
      </c>
      <c r="E310" s="5" t="s">
        <v>65</v>
      </c>
      <c r="F310" s="5" t="s">
        <v>88</v>
      </c>
      <c r="G310" s="5" t="n">
        <v>662</v>
      </c>
      <c r="H310" s="12" t="n">
        <v>11.04</v>
      </c>
      <c r="I310" s="12" t="n">
        <v>7308.48</v>
      </c>
      <c r="J310" s="12" t="n">
        <v>3376.2</v>
      </c>
      <c r="K310" s="12" t="n">
        <f aca="false">I310-J310</f>
        <v>3932.28</v>
      </c>
    </row>
    <row r="311" customFormat="false" ht="15" hidden="false" customHeight="false" outlineLevel="0" collapsed="false">
      <c r="A311" s="11" t="n">
        <v>46098</v>
      </c>
      <c r="B311" s="5" t="s">
        <v>395</v>
      </c>
      <c r="C311" s="5" t="s">
        <v>99</v>
      </c>
      <c r="D311" s="5" t="s">
        <v>69</v>
      </c>
      <c r="E311" s="5" t="s">
        <v>58</v>
      </c>
      <c r="F311" s="5" t="s">
        <v>117</v>
      </c>
      <c r="G311" s="5" t="n">
        <v>4282</v>
      </c>
      <c r="H311" s="12" t="n">
        <v>3.26</v>
      </c>
      <c r="I311" s="12" t="n">
        <v>13959.32</v>
      </c>
      <c r="J311" s="12" t="n">
        <v>6208.9</v>
      </c>
      <c r="K311" s="12" t="n">
        <f aca="false">I311-J311</f>
        <v>7750.42</v>
      </c>
    </row>
    <row r="312" customFormat="false" ht="15" hidden="false" customHeight="false" outlineLevel="0" collapsed="false">
      <c r="A312" s="11" t="n">
        <v>46098</v>
      </c>
      <c r="B312" s="5" t="s">
        <v>396</v>
      </c>
      <c r="C312" s="5" t="s">
        <v>85</v>
      </c>
      <c r="D312" s="5" t="s">
        <v>69</v>
      </c>
      <c r="E312" s="5" t="s">
        <v>70</v>
      </c>
      <c r="F312" s="5" t="s">
        <v>71</v>
      </c>
      <c r="G312" s="5" t="n">
        <v>446</v>
      </c>
      <c r="H312" s="12" t="n">
        <v>2.95</v>
      </c>
      <c r="I312" s="12" t="n">
        <v>1315.7</v>
      </c>
      <c r="J312" s="12" t="n">
        <v>579.8</v>
      </c>
      <c r="K312" s="12" t="n">
        <f aca="false">I312-J312</f>
        <v>735.9</v>
      </c>
    </row>
    <row r="313" customFormat="false" ht="15" hidden="false" customHeight="false" outlineLevel="0" collapsed="false">
      <c r="A313" s="11" t="n">
        <v>46100</v>
      </c>
      <c r="B313" s="5" t="s">
        <v>397</v>
      </c>
      <c r="C313" s="5" t="s">
        <v>81</v>
      </c>
      <c r="D313" s="5" t="s">
        <v>64</v>
      </c>
      <c r="E313" s="5" t="s">
        <v>75</v>
      </c>
      <c r="F313" s="5" t="s">
        <v>78</v>
      </c>
      <c r="G313" s="5" t="n">
        <v>762</v>
      </c>
      <c r="H313" s="12" t="n">
        <v>6.1</v>
      </c>
      <c r="I313" s="12" t="n">
        <v>4648.2</v>
      </c>
      <c r="J313" s="12" t="n">
        <v>1981.2</v>
      </c>
      <c r="K313" s="12" t="n">
        <f aca="false">I313-J313</f>
        <v>2667</v>
      </c>
    </row>
    <row r="314" customFormat="false" ht="15" hidden="false" customHeight="false" outlineLevel="0" collapsed="false">
      <c r="A314" s="11" t="n">
        <v>46100</v>
      </c>
      <c r="B314" s="5" t="s">
        <v>398</v>
      </c>
      <c r="C314" s="5" t="s">
        <v>73</v>
      </c>
      <c r="D314" s="5" t="s">
        <v>64</v>
      </c>
      <c r="E314" s="5" t="s">
        <v>75</v>
      </c>
      <c r="F314" s="5" t="s">
        <v>83</v>
      </c>
      <c r="G314" s="5" t="n">
        <v>502</v>
      </c>
      <c r="H314" s="12" t="n">
        <v>4.03</v>
      </c>
      <c r="I314" s="12" t="n">
        <v>2023.06</v>
      </c>
      <c r="J314" s="12" t="n">
        <v>928.7</v>
      </c>
      <c r="K314" s="12" t="n">
        <f aca="false">I314-J314</f>
        <v>1094.36</v>
      </c>
    </row>
    <row r="315" customFormat="false" ht="15" hidden="false" customHeight="false" outlineLevel="0" collapsed="false">
      <c r="A315" s="11" t="n">
        <v>46100</v>
      </c>
      <c r="B315" s="5" t="s">
        <v>399</v>
      </c>
      <c r="C315" s="5" t="s">
        <v>85</v>
      </c>
      <c r="D315" s="5" t="s">
        <v>69</v>
      </c>
      <c r="E315" s="5" t="s">
        <v>70</v>
      </c>
      <c r="F315" s="5" t="s">
        <v>92</v>
      </c>
      <c r="G315" s="5" t="n">
        <v>549</v>
      </c>
      <c r="H315" s="12" t="n">
        <v>2.4</v>
      </c>
      <c r="I315" s="12" t="n">
        <v>1317.6</v>
      </c>
      <c r="J315" s="12" t="n">
        <v>521.55</v>
      </c>
      <c r="K315" s="12" t="n">
        <f aca="false">I315-J315</f>
        <v>796.05</v>
      </c>
    </row>
    <row r="316" customFormat="false" ht="15" hidden="false" customHeight="false" outlineLevel="0" collapsed="false">
      <c r="A316" s="11" t="n">
        <v>46101</v>
      </c>
      <c r="B316" s="5" t="s">
        <v>400</v>
      </c>
      <c r="C316" s="5" t="s">
        <v>73</v>
      </c>
      <c r="D316" s="5" t="s">
        <v>64</v>
      </c>
      <c r="E316" s="5" t="s">
        <v>58</v>
      </c>
      <c r="F316" s="5" t="s">
        <v>117</v>
      </c>
      <c r="G316" s="5" t="n">
        <v>1847</v>
      </c>
      <c r="H316" s="12" t="n">
        <v>3.26</v>
      </c>
      <c r="I316" s="12" t="n">
        <v>6021.22</v>
      </c>
      <c r="J316" s="12" t="n">
        <v>2678.15</v>
      </c>
      <c r="K316" s="12" t="n">
        <f aca="false">I316-J316</f>
        <v>3343.07</v>
      </c>
    </row>
    <row r="317" customFormat="false" ht="15" hidden="false" customHeight="false" outlineLevel="0" collapsed="false">
      <c r="A317" s="11" t="n">
        <v>46101</v>
      </c>
      <c r="B317" s="5" t="s">
        <v>401</v>
      </c>
      <c r="C317" s="5" t="s">
        <v>94</v>
      </c>
      <c r="D317" s="5" t="s">
        <v>95</v>
      </c>
      <c r="E317" s="5" t="s">
        <v>65</v>
      </c>
      <c r="F317" s="5" t="s">
        <v>66</v>
      </c>
      <c r="G317" s="5" t="n">
        <v>134</v>
      </c>
      <c r="H317" s="12" t="n">
        <v>24.9</v>
      </c>
      <c r="I317" s="12" t="n">
        <v>3336.6</v>
      </c>
      <c r="J317" s="12" t="n">
        <v>1527.6</v>
      </c>
      <c r="K317" s="12" t="n">
        <f aca="false">I317-J317</f>
        <v>1809</v>
      </c>
    </row>
    <row r="318" customFormat="false" ht="15" hidden="false" customHeight="false" outlineLevel="0" collapsed="false">
      <c r="A318" s="11" t="n">
        <v>46101</v>
      </c>
      <c r="B318" s="5" t="s">
        <v>402</v>
      </c>
      <c r="C318" s="5" t="s">
        <v>56</v>
      </c>
      <c r="D318" s="5" t="s">
        <v>57</v>
      </c>
      <c r="E318" s="5" t="s">
        <v>70</v>
      </c>
      <c r="F318" s="5" t="s">
        <v>92</v>
      </c>
      <c r="G318" s="5" t="n">
        <v>2642</v>
      </c>
      <c r="H318" s="12" t="n">
        <v>2.4</v>
      </c>
      <c r="I318" s="12" t="n">
        <v>6340.8</v>
      </c>
      <c r="J318" s="12" t="n">
        <v>2509.9</v>
      </c>
      <c r="K318" s="12" t="n">
        <f aca="false">I318-J318</f>
        <v>3830.9</v>
      </c>
    </row>
    <row r="319" customFormat="false" ht="15" hidden="false" customHeight="false" outlineLevel="0" collapsed="false">
      <c r="A319" s="11" t="n">
        <v>46102</v>
      </c>
      <c r="B319" s="5" t="s">
        <v>403</v>
      </c>
      <c r="C319" s="5" t="s">
        <v>99</v>
      </c>
      <c r="D319" s="5" t="s">
        <v>69</v>
      </c>
      <c r="E319" s="5" t="s">
        <v>58</v>
      </c>
      <c r="F319" s="5" t="s">
        <v>59</v>
      </c>
      <c r="G319" s="5" t="n">
        <v>3733</v>
      </c>
      <c r="H319" s="12" t="n">
        <v>3.74</v>
      </c>
      <c r="I319" s="12" t="n">
        <v>13961.42</v>
      </c>
      <c r="J319" s="12" t="n">
        <v>6346.1</v>
      </c>
      <c r="K319" s="12" t="n">
        <f aca="false">I319-J319</f>
        <v>7615.32</v>
      </c>
    </row>
    <row r="320" customFormat="false" ht="15" hidden="false" customHeight="false" outlineLevel="0" collapsed="false">
      <c r="A320" s="11" t="n">
        <v>46102</v>
      </c>
      <c r="B320" s="5" t="s">
        <v>404</v>
      </c>
      <c r="C320" s="5" t="s">
        <v>81</v>
      </c>
      <c r="D320" s="5" t="s">
        <v>64</v>
      </c>
      <c r="E320" s="5" t="s">
        <v>58</v>
      </c>
      <c r="F320" s="5" t="s">
        <v>59</v>
      </c>
      <c r="G320" s="5" t="n">
        <v>3754</v>
      </c>
      <c r="H320" s="12" t="n">
        <v>3.9</v>
      </c>
      <c r="I320" s="12" t="n">
        <v>14640.6</v>
      </c>
      <c r="J320" s="12" t="n">
        <v>6381.8</v>
      </c>
      <c r="K320" s="12" t="n">
        <f aca="false">I320-J320</f>
        <v>8258.8</v>
      </c>
    </row>
    <row r="321" customFormat="false" ht="15" hidden="false" customHeight="false" outlineLevel="0" collapsed="false">
      <c r="A321" s="11" t="n">
        <v>46102</v>
      </c>
      <c r="B321" s="5" t="s">
        <v>405</v>
      </c>
      <c r="C321" s="5" t="s">
        <v>94</v>
      </c>
      <c r="D321" s="5" t="s">
        <v>95</v>
      </c>
      <c r="E321" s="5" t="s">
        <v>58</v>
      </c>
      <c r="F321" s="5" t="s">
        <v>96</v>
      </c>
      <c r="G321" s="5" t="n">
        <v>4523</v>
      </c>
      <c r="H321" s="12" t="n">
        <v>2.1</v>
      </c>
      <c r="I321" s="12" t="n">
        <v>9498.3</v>
      </c>
      <c r="J321" s="12" t="n">
        <v>4161.16</v>
      </c>
      <c r="K321" s="12" t="n">
        <f aca="false">I321-J321</f>
        <v>5337.14</v>
      </c>
    </row>
    <row r="322" customFormat="false" ht="15" hidden="false" customHeight="false" outlineLevel="0" collapsed="false">
      <c r="A322" s="11" t="n">
        <v>46102</v>
      </c>
      <c r="B322" s="5" t="s">
        <v>406</v>
      </c>
      <c r="C322" s="5" t="s">
        <v>56</v>
      </c>
      <c r="D322" s="5" t="s">
        <v>57</v>
      </c>
      <c r="E322" s="5" t="s">
        <v>58</v>
      </c>
      <c r="F322" s="5" t="s">
        <v>96</v>
      </c>
      <c r="G322" s="5" t="n">
        <v>3001</v>
      </c>
      <c r="H322" s="12" t="n">
        <v>2.1</v>
      </c>
      <c r="I322" s="12" t="n">
        <v>6302.1</v>
      </c>
      <c r="J322" s="12" t="n">
        <v>2760.92</v>
      </c>
      <c r="K322" s="12" t="n">
        <f aca="false">I322-J322</f>
        <v>3541.18</v>
      </c>
    </row>
    <row r="323" customFormat="false" ht="15" hidden="false" customHeight="false" outlineLevel="0" collapsed="false">
      <c r="A323" s="11" t="n">
        <v>46102</v>
      </c>
      <c r="B323" s="5" t="s">
        <v>407</v>
      </c>
      <c r="C323" s="5" t="s">
        <v>56</v>
      </c>
      <c r="D323" s="5" t="s">
        <v>57</v>
      </c>
      <c r="E323" s="5" t="s">
        <v>75</v>
      </c>
      <c r="F323" s="5" t="s">
        <v>83</v>
      </c>
      <c r="G323" s="5" t="n">
        <v>458</v>
      </c>
      <c r="H323" s="12" t="n">
        <v>4.2</v>
      </c>
      <c r="I323" s="12" t="n">
        <v>1923.6</v>
      </c>
      <c r="J323" s="12" t="n">
        <v>847.3</v>
      </c>
      <c r="K323" s="12" t="n">
        <f aca="false">I323-J323</f>
        <v>1076.3</v>
      </c>
    </row>
    <row r="324" customFormat="false" ht="15" hidden="false" customHeight="false" outlineLevel="0" collapsed="false">
      <c r="A324" s="11" t="n">
        <v>46102</v>
      </c>
      <c r="B324" s="5" t="s">
        <v>408</v>
      </c>
      <c r="C324" s="5" t="s">
        <v>68</v>
      </c>
      <c r="D324" s="5" t="s">
        <v>69</v>
      </c>
      <c r="E324" s="5" t="s">
        <v>65</v>
      </c>
      <c r="F324" s="5" t="s">
        <v>88</v>
      </c>
      <c r="G324" s="5" t="n">
        <v>264</v>
      </c>
      <c r="H324" s="12" t="n">
        <v>11.5</v>
      </c>
      <c r="I324" s="12" t="n">
        <v>3036</v>
      </c>
      <c r="J324" s="12" t="n">
        <v>1346.4</v>
      </c>
      <c r="K324" s="12" t="n">
        <f aca="false">I324-J324</f>
        <v>1689.6</v>
      </c>
    </row>
    <row r="325" customFormat="false" ht="15" hidden="false" customHeight="false" outlineLevel="0" collapsed="false">
      <c r="A325" s="11" t="n">
        <v>46102</v>
      </c>
      <c r="B325" s="5" t="s">
        <v>409</v>
      </c>
      <c r="C325" s="5" t="s">
        <v>87</v>
      </c>
      <c r="D325" s="5" t="s">
        <v>64</v>
      </c>
      <c r="E325" s="5" t="s">
        <v>70</v>
      </c>
      <c r="F325" s="5" t="s">
        <v>92</v>
      </c>
      <c r="G325" s="5" t="n">
        <v>1649</v>
      </c>
      <c r="H325" s="12" t="n">
        <v>2.4</v>
      </c>
      <c r="I325" s="12" t="n">
        <v>3957.6</v>
      </c>
      <c r="J325" s="12" t="n">
        <v>1566.55</v>
      </c>
      <c r="K325" s="12" t="n">
        <f aca="false">I325-J325</f>
        <v>2391.05</v>
      </c>
    </row>
    <row r="326" customFormat="false" ht="15" hidden="false" customHeight="false" outlineLevel="0" collapsed="false">
      <c r="A326" s="11" t="n">
        <v>46102</v>
      </c>
      <c r="B326" s="5" t="s">
        <v>410</v>
      </c>
      <c r="C326" s="5" t="s">
        <v>115</v>
      </c>
      <c r="D326" s="5" t="s">
        <v>69</v>
      </c>
      <c r="E326" s="5" t="s">
        <v>70</v>
      </c>
      <c r="F326" s="5" t="s">
        <v>92</v>
      </c>
      <c r="G326" s="5" t="n">
        <v>809</v>
      </c>
      <c r="H326" s="12" t="n">
        <v>2.4</v>
      </c>
      <c r="I326" s="12" t="n">
        <v>1941.6</v>
      </c>
      <c r="J326" s="12" t="n">
        <v>768.55</v>
      </c>
      <c r="K326" s="12" t="n">
        <f aca="false">I326-J326</f>
        <v>1173.05</v>
      </c>
    </row>
    <row r="327" customFormat="false" ht="15" hidden="false" customHeight="false" outlineLevel="0" collapsed="false">
      <c r="A327" s="11" t="n">
        <v>46102</v>
      </c>
      <c r="B327" s="5" t="s">
        <v>411</v>
      </c>
      <c r="C327" s="5" t="s">
        <v>115</v>
      </c>
      <c r="D327" s="5" t="s">
        <v>69</v>
      </c>
      <c r="E327" s="5" t="s">
        <v>70</v>
      </c>
      <c r="F327" s="5" t="s">
        <v>71</v>
      </c>
      <c r="G327" s="5" t="n">
        <v>658</v>
      </c>
      <c r="H327" s="12" t="n">
        <v>2.95</v>
      </c>
      <c r="I327" s="12" t="n">
        <v>1941.1</v>
      </c>
      <c r="J327" s="12" t="n">
        <v>855.4</v>
      </c>
      <c r="K327" s="12" t="n">
        <f aca="false">I327-J327</f>
        <v>1085.7</v>
      </c>
    </row>
    <row r="328" customFormat="false" ht="15" hidden="false" customHeight="false" outlineLevel="0" collapsed="false">
      <c r="A328" s="11" t="n">
        <v>46103</v>
      </c>
      <c r="B328" s="5" t="s">
        <v>412</v>
      </c>
      <c r="C328" s="5" t="s">
        <v>99</v>
      </c>
      <c r="D328" s="5" t="s">
        <v>69</v>
      </c>
      <c r="E328" s="5" t="s">
        <v>58</v>
      </c>
      <c r="F328" s="5" t="s">
        <v>96</v>
      </c>
      <c r="G328" s="5" t="n">
        <v>6911</v>
      </c>
      <c r="H328" s="12" t="n">
        <v>2.02</v>
      </c>
      <c r="I328" s="12" t="n">
        <v>13960.22</v>
      </c>
      <c r="J328" s="12" t="n">
        <v>6358.12</v>
      </c>
      <c r="K328" s="12" t="n">
        <f aca="false">I328-J328</f>
        <v>7602.1</v>
      </c>
    </row>
    <row r="329" customFormat="false" ht="15" hidden="false" customHeight="false" outlineLevel="0" collapsed="false">
      <c r="A329" s="11" t="n">
        <v>46103</v>
      </c>
      <c r="B329" s="5" t="s">
        <v>413</v>
      </c>
      <c r="C329" s="5" t="s">
        <v>81</v>
      </c>
      <c r="D329" s="5" t="s">
        <v>64</v>
      </c>
      <c r="E329" s="5" t="s">
        <v>58</v>
      </c>
      <c r="F329" s="5" t="s">
        <v>96</v>
      </c>
      <c r="G329" s="5" t="n">
        <v>6973</v>
      </c>
      <c r="H329" s="12" t="n">
        <v>2.1</v>
      </c>
      <c r="I329" s="12" t="n">
        <v>14643.3</v>
      </c>
      <c r="J329" s="12" t="n">
        <v>6415.16</v>
      </c>
      <c r="K329" s="12" t="n">
        <f aca="false">I329-J329</f>
        <v>8228.14</v>
      </c>
    </row>
    <row r="330" customFormat="false" ht="15" hidden="false" customHeight="false" outlineLevel="0" collapsed="false">
      <c r="A330" s="11" t="n">
        <v>46103</v>
      </c>
      <c r="B330" s="5" t="s">
        <v>414</v>
      </c>
      <c r="C330" s="5" t="s">
        <v>63</v>
      </c>
      <c r="D330" s="5" t="s">
        <v>64</v>
      </c>
      <c r="E330" s="5" t="s">
        <v>75</v>
      </c>
      <c r="F330" s="5" t="s">
        <v>76</v>
      </c>
      <c r="G330" s="5" t="n">
        <v>489</v>
      </c>
      <c r="H330" s="12" t="n">
        <v>4.8</v>
      </c>
      <c r="I330" s="12" t="n">
        <v>2347.2</v>
      </c>
      <c r="J330" s="12" t="n">
        <v>1002.45</v>
      </c>
      <c r="K330" s="12" t="n">
        <f aca="false">I330-J330</f>
        <v>1344.75</v>
      </c>
    </row>
    <row r="331" customFormat="false" ht="15" hidden="false" customHeight="false" outlineLevel="0" collapsed="false">
      <c r="A331" s="11" t="n">
        <v>46103</v>
      </c>
      <c r="B331" s="5" t="s">
        <v>415</v>
      </c>
      <c r="C331" s="5" t="s">
        <v>85</v>
      </c>
      <c r="D331" s="5" t="s">
        <v>69</v>
      </c>
      <c r="E331" s="5" t="s">
        <v>75</v>
      </c>
      <c r="F331" s="5" t="s">
        <v>76</v>
      </c>
      <c r="G331" s="5" t="n">
        <v>139</v>
      </c>
      <c r="H331" s="12" t="n">
        <v>4.8</v>
      </c>
      <c r="I331" s="12" t="n">
        <v>667.2</v>
      </c>
      <c r="J331" s="12" t="n">
        <v>284.95</v>
      </c>
      <c r="K331" s="12" t="n">
        <f aca="false">I331-J331</f>
        <v>382.25</v>
      </c>
    </row>
    <row r="332" customFormat="false" ht="15" hidden="false" customHeight="false" outlineLevel="0" collapsed="false">
      <c r="A332" s="11" t="n">
        <v>46103</v>
      </c>
      <c r="B332" s="5" t="s">
        <v>416</v>
      </c>
      <c r="C332" s="5" t="s">
        <v>99</v>
      </c>
      <c r="D332" s="5" t="s">
        <v>69</v>
      </c>
      <c r="E332" s="5" t="s">
        <v>70</v>
      </c>
      <c r="F332" s="5" t="s">
        <v>92</v>
      </c>
      <c r="G332" s="5" t="n">
        <v>1804</v>
      </c>
      <c r="H332" s="12" t="n">
        <v>2.3</v>
      </c>
      <c r="I332" s="12" t="n">
        <v>4149.2</v>
      </c>
      <c r="J332" s="12" t="n">
        <v>1713.8</v>
      </c>
      <c r="K332" s="12" t="n">
        <f aca="false">I332-J332</f>
        <v>2435.4</v>
      </c>
    </row>
    <row r="333" customFormat="false" ht="15" hidden="false" customHeight="false" outlineLevel="0" collapsed="false">
      <c r="A333" s="11" t="n">
        <v>46104</v>
      </c>
      <c r="B333" s="5" t="s">
        <v>417</v>
      </c>
      <c r="C333" s="5" t="s">
        <v>68</v>
      </c>
      <c r="D333" s="5" t="s">
        <v>69</v>
      </c>
      <c r="E333" s="5" t="s">
        <v>58</v>
      </c>
      <c r="F333" s="5" t="s">
        <v>59</v>
      </c>
      <c r="G333" s="5" t="n">
        <v>1083</v>
      </c>
      <c r="H333" s="12" t="n">
        <v>3.9</v>
      </c>
      <c r="I333" s="12" t="n">
        <v>4223.7</v>
      </c>
      <c r="J333" s="12" t="n">
        <v>1841.1</v>
      </c>
      <c r="K333" s="12" t="n">
        <f aca="false">I333-J333</f>
        <v>2382.6</v>
      </c>
    </row>
    <row r="334" customFormat="false" ht="15" hidden="false" customHeight="false" outlineLevel="0" collapsed="false">
      <c r="A334" s="11" t="n">
        <v>46104</v>
      </c>
      <c r="B334" s="5" t="s">
        <v>418</v>
      </c>
      <c r="C334" s="5" t="s">
        <v>56</v>
      </c>
      <c r="D334" s="5" t="s">
        <v>57</v>
      </c>
      <c r="E334" s="5" t="s">
        <v>75</v>
      </c>
      <c r="F334" s="5" t="s">
        <v>76</v>
      </c>
      <c r="G334" s="5" t="n">
        <v>401</v>
      </c>
      <c r="H334" s="12" t="n">
        <v>4.8</v>
      </c>
      <c r="I334" s="12" t="n">
        <v>1924.8</v>
      </c>
      <c r="J334" s="12" t="n">
        <v>822.05</v>
      </c>
      <c r="K334" s="12" t="n">
        <f aca="false">I334-J334</f>
        <v>1102.75</v>
      </c>
    </row>
    <row r="335" customFormat="false" ht="15" hidden="false" customHeight="false" outlineLevel="0" collapsed="false">
      <c r="A335" s="11" t="n">
        <v>46104</v>
      </c>
      <c r="B335" s="5" t="s">
        <v>419</v>
      </c>
      <c r="C335" s="5" t="s">
        <v>94</v>
      </c>
      <c r="D335" s="5" t="s">
        <v>95</v>
      </c>
      <c r="E335" s="5" t="s">
        <v>65</v>
      </c>
      <c r="F335" s="5" t="s">
        <v>88</v>
      </c>
      <c r="G335" s="5" t="n">
        <v>292</v>
      </c>
      <c r="H335" s="12" t="n">
        <v>11.5</v>
      </c>
      <c r="I335" s="12" t="n">
        <v>3358</v>
      </c>
      <c r="J335" s="12" t="n">
        <v>1489.2</v>
      </c>
      <c r="K335" s="12" t="n">
        <f aca="false">I335-J335</f>
        <v>1868.8</v>
      </c>
    </row>
    <row r="336" customFormat="false" ht="15" hidden="false" customHeight="false" outlineLevel="0" collapsed="false">
      <c r="A336" s="11" t="n">
        <v>46104</v>
      </c>
      <c r="B336" s="5" t="s">
        <v>420</v>
      </c>
      <c r="C336" s="5" t="s">
        <v>94</v>
      </c>
      <c r="D336" s="5" t="s">
        <v>95</v>
      </c>
      <c r="E336" s="5" t="s">
        <v>70</v>
      </c>
      <c r="F336" s="5" t="s">
        <v>71</v>
      </c>
      <c r="G336" s="5" t="n">
        <v>862</v>
      </c>
      <c r="H336" s="12" t="n">
        <v>2.95</v>
      </c>
      <c r="I336" s="12" t="n">
        <v>2542.9</v>
      </c>
      <c r="J336" s="12" t="n">
        <v>1120.6</v>
      </c>
      <c r="K336" s="12" t="n">
        <f aca="false">I336-J336</f>
        <v>1422.3</v>
      </c>
    </row>
    <row r="337" customFormat="false" ht="15" hidden="false" customHeight="false" outlineLevel="0" collapsed="false">
      <c r="A337" s="11" t="n">
        <v>46104</v>
      </c>
      <c r="B337" s="5" t="s">
        <v>421</v>
      </c>
      <c r="C337" s="5" t="s">
        <v>87</v>
      </c>
      <c r="D337" s="5" t="s">
        <v>64</v>
      </c>
      <c r="E337" s="5" t="s">
        <v>70</v>
      </c>
      <c r="F337" s="5" t="s">
        <v>92</v>
      </c>
      <c r="G337" s="5" t="n">
        <v>1649</v>
      </c>
      <c r="H337" s="12" t="n">
        <v>2.4</v>
      </c>
      <c r="I337" s="12" t="n">
        <v>3957.6</v>
      </c>
      <c r="J337" s="12" t="n">
        <v>1566.55</v>
      </c>
      <c r="K337" s="12" t="n">
        <f aca="false">I337-J337</f>
        <v>2391.05</v>
      </c>
    </row>
    <row r="338" customFormat="false" ht="15" hidden="false" customHeight="false" outlineLevel="0" collapsed="false">
      <c r="A338" s="11" t="n">
        <v>46105</v>
      </c>
      <c r="B338" s="5" t="s">
        <v>422</v>
      </c>
      <c r="C338" s="5" t="s">
        <v>73</v>
      </c>
      <c r="D338" s="5" t="s">
        <v>64</v>
      </c>
      <c r="E338" s="5" t="s">
        <v>58</v>
      </c>
      <c r="F338" s="5" t="s">
        <v>96</v>
      </c>
      <c r="G338" s="5" t="n">
        <v>2981</v>
      </c>
      <c r="H338" s="12" t="n">
        <v>2.02</v>
      </c>
      <c r="I338" s="12" t="n">
        <v>6021.62</v>
      </c>
      <c r="J338" s="12" t="n">
        <v>2742.52</v>
      </c>
      <c r="K338" s="12" t="n">
        <f aca="false">I338-J338</f>
        <v>3279.1</v>
      </c>
    </row>
    <row r="339" customFormat="false" ht="15" hidden="false" customHeight="false" outlineLevel="0" collapsed="false">
      <c r="A339" s="11" t="n">
        <v>46105</v>
      </c>
      <c r="B339" s="5" t="s">
        <v>423</v>
      </c>
      <c r="C339" s="5" t="s">
        <v>87</v>
      </c>
      <c r="D339" s="5" t="s">
        <v>64</v>
      </c>
      <c r="E339" s="5" t="s">
        <v>58</v>
      </c>
      <c r="F339" s="5" t="s">
        <v>61</v>
      </c>
      <c r="G339" s="5" t="n">
        <v>336</v>
      </c>
      <c r="H339" s="12" t="n">
        <v>24.5</v>
      </c>
      <c r="I339" s="12" t="n">
        <v>8232</v>
      </c>
      <c r="J339" s="12" t="n">
        <v>3964.8</v>
      </c>
      <c r="K339" s="12" t="n">
        <f aca="false">I339-J339</f>
        <v>4267.2</v>
      </c>
    </row>
    <row r="340" customFormat="false" ht="15" hidden="false" customHeight="false" outlineLevel="0" collapsed="false">
      <c r="A340" s="11" t="n">
        <v>46105</v>
      </c>
      <c r="B340" s="5" t="s">
        <v>424</v>
      </c>
      <c r="C340" s="5" t="s">
        <v>73</v>
      </c>
      <c r="D340" s="5" t="s">
        <v>64</v>
      </c>
      <c r="E340" s="5" t="s">
        <v>65</v>
      </c>
      <c r="F340" s="5" t="s">
        <v>88</v>
      </c>
      <c r="G340" s="5" t="n">
        <v>574</v>
      </c>
      <c r="H340" s="12" t="n">
        <v>11.04</v>
      </c>
      <c r="I340" s="12" t="n">
        <v>6336.96</v>
      </c>
      <c r="J340" s="12" t="n">
        <v>2927.4</v>
      </c>
      <c r="K340" s="12" t="n">
        <f aca="false">I340-J340</f>
        <v>3409.56</v>
      </c>
    </row>
    <row r="341" customFormat="false" ht="15" hidden="false" customHeight="false" outlineLevel="0" collapsed="false">
      <c r="A341" s="11" t="n">
        <v>46105</v>
      </c>
      <c r="B341" s="5" t="s">
        <v>425</v>
      </c>
      <c r="C341" s="5" t="s">
        <v>115</v>
      </c>
      <c r="D341" s="5" t="s">
        <v>69</v>
      </c>
      <c r="E341" s="5" t="s">
        <v>65</v>
      </c>
      <c r="F341" s="5" t="s">
        <v>66</v>
      </c>
      <c r="G341" s="5" t="n">
        <v>76</v>
      </c>
      <c r="H341" s="12" t="n">
        <v>24.9</v>
      </c>
      <c r="I341" s="12" t="n">
        <v>1892.4</v>
      </c>
      <c r="J341" s="12" t="n">
        <v>866.4</v>
      </c>
      <c r="K341" s="12" t="n">
        <f aca="false">I341-J341</f>
        <v>1026</v>
      </c>
    </row>
    <row r="342" customFormat="false" ht="15" hidden="false" customHeight="false" outlineLevel="0" collapsed="false">
      <c r="A342" s="11" t="n">
        <v>46105</v>
      </c>
      <c r="B342" s="5" t="s">
        <v>426</v>
      </c>
      <c r="C342" s="5" t="s">
        <v>115</v>
      </c>
      <c r="D342" s="5" t="s">
        <v>69</v>
      </c>
      <c r="E342" s="5" t="s">
        <v>65</v>
      </c>
      <c r="F342" s="5" t="s">
        <v>88</v>
      </c>
      <c r="G342" s="5" t="n">
        <v>165</v>
      </c>
      <c r="H342" s="12" t="n">
        <v>11.5</v>
      </c>
      <c r="I342" s="12" t="n">
        <v>1897.5</v>
      </c>
      <c r="J342" s="12" t="n">
        <v>841.5</v>
      </c>
      <c r="K342" s="12" t="n">
        <f aca="false">I342-J342</f>
        <v>1056</v>
      </c>
    </row>
    <row r="343" customFormat="false" ht="15" hidden="false" customHeight="false" outlineLevel="0" collapsed="false">
      <c r="A343" s="11" t="n">
        <v>46106</v>
      </c>
      <c r="B343" s="5" t="s">
        <v>427</v>
      </c>
      <c r="C343" s="5" t="s">
        <v>73</v>
      </c>
      <c r="D343" s="5" t="s">
        <v>64</v>
      </c>
      <c r="E343" s="5" t="s">
        <v>58</v>
      </c>
      <c r="F343" s="5" t="s">
        <v>96</v>
      </c>
      <c r="G343" s="5" t="n">
        <v>2981</v>
      </c>
      <c r="H343" s="12" t="n">
        <v>2.02</v>
      </c>
      <c r="I343" s="12" t="n">
        <v>6021.62</v>
      </c>
      <c r="J343" s="12" t="n">
        <v>2742.52</v>
      </c>
      <c r="K343" s="12" t="n">
        <f aca="false">I343-J343</f>
        <v>3279.1</v>
      </c>
    </row>
    <row r="344" customFormat="false" ht="15" hidden="false" customHeight="false" outlineLevel="0" collapsed="false">
      <c r="A344" s="11" t="n">
        <v>46106</v>
      </c>
      <c r="B344" s="5" t="s">
        <v>428</v>
      </c>
      <c r="C344" s="5" t="s">
        <v>115</v>
      </c>
      <c r="D344" s="5" t="s">
        <v>69</v>
      </c>
      <c r="E344" s="5" t="s">
        <v>58</v>
      </c>
      <c r="F344" s="5" t="s">
        <v>117</v>
      </c>
      <c r="G344" s="5" t="n">
        <v>2291</v>
      </c>
      <c r="H344" s="12" t="n">
        <v>3.4</v>
      </c>
      <c r="I344" s="12" t="n">
        <v>7789.4</v>
      </c>
      <c r="J344" s="12" t="n">
        <v>3321.95</v>
      </c>
      <c r="K344" s="12" t="n">
        <f aca="false">I344-J344</f>
        <v>4467.45</v>
      </c>
    </row>
    <row r="345" customFormat="false" ht="15" hidden="false" customHeight="false" outlineLevel="0" collapsed="false">
      <c r="A345" s="11" t="n">
        <v>46106</v>
      </c>
      <c r="B345" s="5" t="s">
        <v>429</v>
      </c>
      <c r="C345" s="5" t="s">
        <v>99</v>
      </c>
      <c r="D345" s="5" t="s">
        <v>69</v>
      </c>
      <c r="E345" s="5" t="s">
        <v>75</v>
      </c>
      <c r="F345" s="5" t="s">
        <v>83</v>
      </c>
      <c r="G345" s="5" t="n">
        <v>749</v>
      </c>
      <c r="H345" s="12" t="n">
        <v>4.03</v>
      </c>
      <c r="I345" s="12" t="n">
        <v>3018.47</v>
      </c>
      <c r="J345" s="12" t="n">
        <v>1385.65</v>
      </c>
      <c r="K345" s="12" t="n">
        <f aca="false">I345-J345</f>
        <v>1632.82</v>
      </c>
    </row>
    <row r="346" customFormat="false" ht="15" hidden="false" customHeight="false" outlineLevel="0" collapsed="false">
      <c r="A346" s="11" t="n">
        <v>46106</v>
      </c>
      <c r="B346" s="5" t="s">
        <v>430</v>
      </c>
      <c r="C346" s="5" t="s">
        <v>73</v>
      </c>
      <c r="D346" s="5" t="s">
        <v>64</v>
      </c>
      <c r="E346" s="5" t="s">
        <v>75</v>
      </c>
      <c r="F346" s="5" t="s">
        <v>78</v>
      </c>
      <c r="G346" s="5" t="n">
        <v>345</v>
      </c>
      <c r="H346" s="12" t="n">
        <v>5.86</v>
      </c>
      <c r="I346" s="12" t="n">
        <v>2021.7</v>
      </c>
      <c r="J346" s="12" t="n">
        <v>897</v>
      </c>
      <c r="K346" s="12" t="n">
        <f aca="false">I346-J346</f>
        <v>1124.7</v>
      </c>
    </row>
    <row r="347" customFormat="false" ht="15" hidden="false" customHeight="false" outlineLevel="0" collapsed="false">
      <c r="A347" s="11" t="n">
        <v>46106</v>
      </c>
      <c r="B347" s="5" t="s">
        <v>431</v>
      </c>
      <c r="C347" s="5" t="s">
        <v>94</v>
      </c>
      <c r="D347" s="5" t="s">
        <v>95</v>
      </c>
      <c r="E347" s="5" t="s">
        <v>75</v>
      </c>
      <c r="F347" s="5" t="s">
        <v>78</v>
      </c>
      <c r="G347" s="5" t="n">
        <v>290</v>
      </c>
      <c r="H347" s="12" t="n">
        <v>6.1</v>
      </c>
      <c r="I347" s="12" t="n">
        <v>1769</v>
      </c>
      <c r="J347" s="12" t="n">
        <v>754</v>
      </c>
      <c r="K347" s="12" t="n">
        <f aca="false">I347-J347</f>
        <v>1015</v>
      </c>
    </row>
    <row r="348" customFormat="false" ht="15" hidden="false" customHeight="false" outlineLevel="0" collapsed="false">
      <c r="A348" s="11" t="n">
        <v>46106</v>
      </c>
      <c r="B348" s="5" t="s">
        <v>432</v>
      </c>
      <c r="C348" s="5" t="s">
        <v>81</v>
      </c>
      <c r="D348" s="5" t="s">
        <v>64</v>
      </c>
      <c r="E348" s="5" t="s">
        <v>65</v>
      </c>
      <c r="F348" s="5" t="s">
        <v>88</v>
      </c>
      <c r="G348" s="5" t="n">
        <v>611</v>
      </c>
      <c r="H348" s="12" t="n">
        <v>11.5</v>
      </c>
      <c r="I348" s="12" t="n">
        <v>7026.5</v>
      </c>
      <c r="J348" s="12" t="n">
        <v>3116.1</v>
      </c>
      <c r="K348" s="12" t="n">
        <f aca="false">I348-J348</f>
        <v>3910.4</v>
      </c>
    </row>
    <row r="349" customFormat="false" ht="15" hidden="false" customHeight="false" outlineLevel="0" collapsed="false">
      <c r="A349" s="11" t="n">
        <v>46106</v>
      </c>
      <c r="B349" s="5" t="s">
        <v>433</v>
      </c>
      <c r="C349" s="5" t="s">
        <v>85</v>
      </c>
      <c r="D349" s="5" t="s">
        <v>69</v>
      </c>
      <c r="E349" s="5" t="s">
        <v>65</v>
      </c>
      <c r="F349" s="5" t="s">
        <v>66</v>
      </c>
      <c r="G349" s="5" t="n">
        <v>65</v>
      </c>
      <c r="H349" s="12" t="n">
        <v>24.9</v>
      </c>
      <c r="I349" s="12" t="n">
        <v>1618.5</v>
      </c>
      <c r="J349" s="12" t="n">
        <v>741</v>
      </c>
      <c r="K349" s="12" t="n">
        <f aca="false">I349-J349</f>
        <v>877.5</v>
      </c>
    </row>
    <row r="350" customFormat="false" ht="15" hidden="false" customHeight="false" outlineLevel="0" collapsed="false">
      <c r="A350" s="11" t="n">
        <v>46106</v>
      </c>
      <c r="B350" s="5" t="s">
        <v>434</v>
      </c>
      <c r="C350" s="5" t="s">
        <v>99</v>
      </c>
      <c r="D350" s="5" t="s">
        <v>69</v>
      </c>
      <c r="E350" s="5" t="s">
        <v>70</v>
      </c>
      <c r="F350" s="5" t="s">
        <v>92</v>
      </c>
      <c r="G350" s="5" t="n">
        <v>1804</v>
      </c>
      <c r="H350" s="12" t="n">
        <v>2.3</v>
      </c>
      <c r="I350" s="12" t="n">
        <v>4149.2</v>
      </c>
      <c r="J350" s="12" t="n">
        <v>1713.8</v>
      </c>
      <c r="K350" s="12" t="n">
        <f aca="false">I350-J350</f>
        <v>2435.4</v>
      </c>
    </row>
    <row r="351" customFormat="false" ht="15" hidden="false" customHeight="false" outlineLevel="0" collapsed="false">
      <c r="A351" s="11" t="n">
        <v>46106</v>
      </c>
      <c r="B351" s="5" t="s">
        <v>435</v>
      </c>
      <c r="C351" s="5" t="s">
        <v>73</v>
      </c>
      <c r="D351" s="5" t="s">
        <v>64</v>
      </c>
      <c r="E351" s="5" t="s">
        <v>70</v>
      </c>
      <c r="F351" s="5" t="s">
        <v>92</v>
      </c>
      <c r="G351" s="5" t="n">
        <v>1720</v>
      </c>
      <c r="H351" s="12" t="n">
        <v>2.3</v>
      </c>
      <c r="I351" s="12" t="n">
        <v>3956</v>
      </c>
      <c r="J351" s="12" t="n">
        <v>1634</v>
      </c>
      <c r="K351" s="12" t="n">
        <f aca="false">I351-J351</f>
        <v>2322</v>
      </c>
    </row>
    <row r="352" customFormat="false" ht="15" hidden="false" customHeight="false" outlineLevel="0" collapsed="false">
      <c r="A352" s="11" t="n">
        <v>46107</v>
      </c>
      <c r="B352" s="5" t="s">
        <v>436</v>
      </c>
      <c r="C352" s="5" t="s">
        <v>85</v>
      </c>
      <c r="D352" s="5" t="s">
        <v>69</v>
      </c>
      <c r="E352" s="5" t="s">
        <v>65</v>
      </c>
      <c r="F352" s="5" t="s">
        <v>88</v>
      </c>
      <c r="G352" s="5" t="n">
        <v>142</v>
      </c>
      <c r="H352" s="12" t="n">
        <v>11.5</v>
      </c>
      <c r="I352" s="12" t="n">
        <v>1633</v>
      </c>
      <c r="J352" s="12" t="n">
        <v>724.2</v>
      </c>
      <c r="K352" s="12" t="n">
        <f aca="false">I352-J352</f>
        <v>908.8</v>
      </c>
    </row>
    <row r="353" customFormat="false" ht="15" hidden="false" customHeight="false" outlineLevel="0" collapsed="false">
      <c r="A353" s="11" t="n">
        <v>46108</v>
      </c>
      <c r="B353" s="5" t="s">
        <v>437</v>
      </c>
      <c r="C353" s="5" t="s">
        <v>63</v>
      </c>
      <c r="D353" s="5" t="s">
        <v>64</v>
      </c>
      <c r="E353" s="5" t="s">
        <v>58</v>
      </c>
      <c r="F353" s="5" t="s">
        <v>117</v>
      </c>
      <c r="G353" s="5" t="n">
        <v>6949</v>
      </c>
      <c r="H353" s="12" t="n">
        <v>3.4</v>
      </c>
      <c r="I353" s="12" t="n">
        <v>23626.6</v>
      </c>
      <c r="J353" s="12" t="n">
        <v>10076.05</v>
      </c>
      <c r="K353" s="12" t="n">
        <f aca="false">I353-J353</f>
        <v>13550.55</v>
      </c>
    </row>
    <row r="354" customFormat="false" ht="15" hidden="false" customHeight="false" outlineLevel="0" collapsed="false">
      <c r="A354" s="11" t="n">
        <v>46108</v>
      </c>
      <c r="B354" s="5" t="s">
        <v>438</v>
      </c>
      <c r="C354" s="5" t="s">
        <v>87</v>
      </c>
      <c r="D354" s="5" t="s">
        <v>64</v>
      </c>
      <c r="E354" s="5" t="s">
        <v>75</v>
      </c>
      <c r="F354" s="5" t="s">
        <v>76</v>
      </c>
      <c r="G354" s="5" t="n">
        <v>325</v>
      </c>
      <c r="H354" s="12" t="n">
        <v>4.8</v>
      </c>
      <c r="I354" s="12" t="n">
        <v>1560</v>
      </c>
      <c r="J354" s="12" t="n">
        <v>666.25</v>
      </c>
      <c r="K354" s="12" t="n">
        <f aca="false">I354-J354</f>
        <v>893.75</v>
      </c>
    </row>
    <row r="355" customFormat="false" ht="15" hidden="false" customHeight="false" outlineLevel="0" collapsed="false">
      <c r="A355" s="11" t="n">
        <v>46108</v>
      </c>
      <c r="B355" s="5" t="s">
        <v>439</v>
      </c>
      <c r="C355" s="5" t="s">
        <v>56</v>
      </c>
      <c r="D355" s="5" t="s">
        <v>57</v>
      </c>
      <c r="E355" s="5" t="s">
        <v>65</v>
      </c>
      <c r="F355" s="5" t="s">
        <v>88</v>
      </c>
      <c r="G355" s="5" t="n">
        <v>577</v>
      </c>
      <c r="H355" s="12" t="n">
        <v>11.5</v>
      </c>
      <c r="I355" s="12" t="n">
        <v>6635.5</v>
      </c>
      <c r="J355" s="12" t="n">
        <v>2942.7</v>
      </c>
      <c r="K355" s="12" t="n">
        <f aca="false">I355-J355</f>
        <v>3692.8</v>
      </c>
    </row>
    <row r="356" customFormat="false" ht="15" hidden="false" customHeight="false" outlineLevel="0" collapsed="false">
      <c r="A356" s="11" t="n">
        <v>46108</v>
      </c>
      <c r="B356" s="5" t="s">
        <v>440</v>
      </c>
      <c r="C356" s="5" t="s">
        <v>94</v>
      </c>
      <c r="D356" s="5" t="s">
        <v>95</v>
      </c>
      <c r="E356" s="5" t="s">
        <v>70</v>
      </c>
      <c r="F356" s="5" t="s">
        <v>92</v>
      </c>
      <c r="G356" s="5" t="n">
        <v>1060</v>
      </c>
      <c r="H356" s="12" t="n">
        <v>2.4</v>
      </c>
      <c r="I356" s="12" t="n">
        <v>2544</v>
      </c>
      <c r="J356" s="12" t="n">
        <v>1007</v>
      </c>
      <c r="K356" s="12" t="n">
        <f aca="false">I356-J356</f>
        <v>1537</v>
      </c>
    </row>
    <row r="357" customFormat="false" ht="15" hidden="false" customHeight="false" outlineLevel="0" collapsed="false">
      <c r="A357" s="11" t="n">
        <v>46108</v>
      </c>
      <c r="B357" s="5" t="s">
        <v>441</v>
      </c>
      <c r="C357" s="5" t="s">
        <v>115</v>
      </c>
      <c r="D357" s="5" t="s">
        <v>69</v>
      </c>
      <c r="E357" s="5" t="s">
        <v>70</v>
      </c>
      <c r="F357" s="5" t="s">
        <v>71</v>
      </c>
      <c r="G357" s="5" t="n">
        <v>658</v>
      </c>
      <c r="H357" s="12" t="n">
        <v>2.95</v>
      </c>
      <c r="I357" s="12" t="n">
        <v>1941.1</v>
      </c>
      <c r="J357" s="12" t="n">
        <v>855.4</v>
      </c>
      <c r="K357" s="12" t="n">
        <f aca="false">I357-J357</f>
        <v>1085.7</v>
      </c>
    </row>
    <row r="358" customFormat="false" ht="15" hidden="false" customHeight="false" outlineLevel="0" collapsed="false">
      <c r="A358" s="11" t="n">
        <v>46109</v>
      </c>
      <c r="B358" s="5" t="s">
        <v>442</v>
      </c>
      <c r="C358" s="5" t="s">
        <v>85</v>
      </c>
      <c r="D358" s="5" t="s">
        <v>69</v>
      </c>
      <c r="E358" s="5" t="s">
        <v>58</v>
      </c>
      <c r="F358" s="5" t="s">
        <v>117</v>
      </c>
      <c r="G358" s="5" t="n">
        <v>1692</v>
      </c>
      <c r="H358" s="12" t="n">
        <v>3.4</v>
      </c>
      <c r="I358" s="12" t="n">
        <v>5752.8</v>
      </c>
      <c r="J358" s="12" t="n">
        <v>2453.4</v>
      </c>
      <c r="K358" s="12" t="n">
        <f aca="false">I358-J358</f>
        <v>3299.4</v>
      </c>
    </row>
    <row r="359" customFormat="false" ht="15" hidden="false" customHeight="false" outlineLevel="0" collapsed="false">
      <c r="A359" s="11" t="n">
        <v>46109</v>
      </c>
      <c r="B359" s="5" t="s">
        <v>443</v>
      </c>
      <c r="C359" s="5" t="s">
        <v>87</v>
      </c>
      <c r="D359" s="5" t="s">
        <v>64</v>
      </c>
      <c r="E359" s="5" t="s">
        <v>70</v>
      </c>
      <c r="F359" s="5" t="s">
        <v>92</v>
      </c>
      <c r="G359" s="5" t="n">
        <v>1649</v>
      </c>
      <c r="H359" s="12" t="n">
        <v>2.4</v>
      </c>
      <c r="I359" s="12" t="n">
        <v>3957.6</v>
      </c>
      <c r="J359" s="12" t="n">
        <v>1566.55</v>
      </c>
      <c r="K359" s="12" t="n">
        <f aca="false">I359-J359</f>
        <v>2391.05</v>
      </c>
    </row>
    <row r="360" customFormat="false" ht="15" hidden="false" customHeight="false" outlineLevel="0" collapsed="false">
      <c r="A360" s="11" t="n">
        <v>46109</v>
      </c>
      <c r="B360" s="5" t="s">
        <v>444</v>
      </c>
      <c r="C360" s="5" t="s">
        <v>56</v>
      </c>
      <c r="D360" s="5" t="s">
        <v>57</v>
      </c>
      <c r="E360" s="5" t="s">
        <v>70</v>
      </c>
      <c r="F360" s="5" t="s">
        <v>71</v>
      </c>
      <c r="G360" s="5" t="n">
        <v>2149</v>
      </c>
      <c r="H360" s="12" t="n">
        <v>2.95</v>
      </c>
      <c r="I360" s="12" t="n">
        <v>6339.55</v>
      </c>
      <c r="J360" s="12" t="n">
        <v>2793.7</v>
      </c>
      <c r="K360" s="12" t="n">
        <f aca="false">I360-J360</f>
        <v>3545.85</v>
      </c>
    </row>
    <row r="361" customFormat="false" ht="15" hidden="false" customHeight="false" outlineLevel="0" collapsed="false">
      <c r="A361" s="11" t="n">
        <v>46113</v>
      </c>
      <c r="B361" s="5" t="s">
        <v>445</v>
      </c>
      <c r="C361" s="5" t="s">
        <v>68</v>
      </c>
      <c r="D361" s="5" t="s">
        <v>69</v>
      </c>
      <c r="E361" s="5" t="s">
        <v>75</v>
      </c>
      <c r="F361" s="5" t="s">
        <v>76</v>
      </c>
      <c r="G361" s="5" t="n">
        <v>292</v>
      </c>
      <c r="H361" s="12" t="n">
        <v>4.8</v>
      </c>
      <c r="I361" s="12" t="n">
        <v>1401.6</v>
      </c>
      <c r="J361" s="12" t="n">
        <v>598.6</v>
      </c>
      <c r="K361" s="12" t="n">
        <f aca="false">I361-J361</f>
        <v>803</v>
      </c>
    </row>
    <row r="362" customFormat="false" ht="15" hidden="false" customHeight="false" outlineLevel="0" collapsed="false">
      <c r="A362" s="11" t="n">
        <v>46113</v>
      </c>
      <c r="B362" s="5" t="s">
        <v>446</v>
      </c>
      <c r="C362" s="5" t="s">
        <v>56</v>
      </c>
      <c r="D362" s="5" t="s">
        <v>57</v>
      </c>
      <c r="E362" s="5" t="s">
        <v>75</v>
      </c>
      <c r="F362" s="5" t="s">
        <v>83</v>
      </c>
      <c r="G362" s="5" t="n">
        <v>252</v>
      </c>
      <c r="H362" s="12" t="n">
        <v>4.2</v>
      </c>
      <c r="I362" s="12" t="n">
        <v>1058.4</v>
      </c>
      <c r="J362" s="12" t="n">
        <v>466.2</v>
      </c>
      <c r="K362" s="12" t="n">
        <f aca="false">I362-J362</f>
        <v>592.2</v>
      </c>
    </row>
    <row r="363" customFormat="false" ht="15" hidden="false" customHeight="false" outlineLevel="0" collapsed="false">
      <c r="A363" s="11" t="n">
        <v>46113</v>
      </c>
      <c r="B363" s="5" t="s">
        <v>447</v>
      </c>
      <c r="C363" s="5" t="s">
        <v>115</v>
      </c>
      <c r="D363" s="5" t="s">
        <v>69</v>
      </c>
      <c r="E363" s="5" t="s">
        <v>70</v>
      </c>
      <c r="F363" s="5" t="s">
        <v>92</v>
      </c>
      <c r="G363" s="5" t="n">
        <v>996</v>
      </c>
      <c r="H363" s="12" t="n">
        <v>2.4</v>
      </c>
      <c r="I363" s="12" t="n">
        <v>2390.4</v>
      </c>
      <c r="J363" s="12" t="n">
        <v>946.2</v>
      </c>
      <c r="K363" s="12" t="n">
        <f aca="false">I363-J363</f>
        <v>1444.2</v>
      </c>
    </row>
    <row r="364" customFormat="false" ht="15" hidden="false" customHeight="false" outlineLevel="0" collapsed="false">
      <c r="A364" s="11" t="n">
        <v>46114</v>
      </c>
      <c r="B364" s="5" t="s">
        <v>448</v>
      </c>
      <c r="C364" s="5" t="s">
        <v>81</v>
      </c>
      <c r="D364" s="5" t="s">
        <v>64</v>
      </c>
      <c r="E364" s="5" t="s">
        <v>65</v>
      </c>
      <c r="F364" s="5" t="s">
        <v>88</v>
      </c>
      <c r="G364" s="5" t="n">
        <v>409</v>
      </c>
      <c r="H364" s="12" t="n">
        <v>11.5</v>
      </c>
      <c r="I364" s="12" t="n">
        <v>4703.5</v>
      </c>
      <c r="J364" s="12" t="n">
        <v>2085.9</v>
      </c>
      <c r="K364" s="12" t="n">
        <f aca="false">I364-J364</f>
        <v>2617.6</v>
      </c>
    </row>
    <row r="365" customFormat="false" ht="15" hidden="false" customHeight="false" outlineLevel="0" collapsed="false">
      <c r="A365" s="11" t="n">
        <v>46114</v>
      </c>
      <c r="B365" s="5" t="s">
        <v>449</v>
      </c>
      <c r="C365" s="5" t="s">
        <v>87</v>
      </c>
      <c r="D365" s="5" t="s">
        <v>64</v>
      </c>
      <c r="E365" s="5" t="s">
        <v>65</v>
      </c>
      <c r="F365" s="5" t="s">
        <v>88</v>
      </c>
      <c r="G365" s="5" t="n">
        <v>277</v>
      </c>
      <c r="H365" s="12" t="n">
        <v>11.5</v>
      </c>
      <c r="I365" s="12" t="n">
        <v>3185.5</v>
      </c>
      <c r="J365" s="12" t="n">
        <v>1412.7</v>
      </c>
      <c r="K365" s="12" t="n">
        <f aca="false">I365-J365</f>
        <v>1772.8</v>
      </c>
    </row>
    <row r="366" customFormat="false" ht="15" hidden="false" customHeight="false" outlineLevel="0" collapsed="false">
      <c r="A366" s="11" t="n">
        <v>46115</v>
      </c>
      <c r="B366" s="5" t="s">
        <v>450</v>
      </c>
      <c r="C366" s="5" t="s">
        <v>73</v>
      </c>
      <c r="D366" s="5" t="s">
        <v>64</v>
      </c>
      <c r="E366" s="5" t="s">
        <v>58</v>
      </c>
      <c r="F366" s="5" t="s">
        <v>117</v>
      </c>
      <c r="G366" s="5" t="n">
        <v>2947</v>
      </c>
      <c r="H366" s="12" t="n">
        <v>3.26</v>
      </c>
      <c r="I366" s="12" t="n">
        <v>9607.22</v>
      </c>
      <c r="J366" s="12" t="n">
        <v>4273.15</v>
      </c>
      <c r="K366" s="12" t="n">
        <f aca="false">I366-J366</f>
        <v>5334.07</v>
      </c>
    </row>
    <row r="367" customFormat="false" ht="15" hidden="false" customHeight="false" outlineLevel="0" collapsed="false">
      <c r="A367" s="11" t="n">
        <v>46115</v>
      </c>
      <c r="B367" s="5" t="s">
        <v>451</v>
      </c>
      <c r="C367" s="5" t="s">
        <v>94</v>
      </c>
      <c r="D367" s="5" t="s">
        <v>95</v>
      </c>
      <c r="E367" s="5" t="s">
        <v>58</v>
      </c>
      <c r="F367" s="5" t="s">
        <v>61</v>
      </c>
      <c r="G367" s="5" t="n">
        <v>416</v>
      </c>
      <c r="H367" s="12" t="n">
        <v>24.5</v>
      </c>
      <c r="I367" s="12" t="n">
        <v>10192</v>
      </c>
      <c r="J367" s="12" t="n">
        <v>4908.8</v>
      </c>
      <c r="K367" s="12" t="n">
        <f aca="false">I367-J367</f>
        <v>5283.2</v>
      </c>
    </row>
    <row r="368" customFormat="false" ht="15" hidden="false" customHeight="false" outlineLevel="0" collapsed="false">
      <c r="A368" s="11" t="n">
        <v>46115</v>
      </c>
      <c r="B368" s="5" t="s">
        <v>452</v>
      </c>
      <c r="C368" s="5" t="s">
        <v>115</v>
      </c>
      <c r="D368" s="5" t="s">
        <v>69</v>
      </c>
      <c r="E368" s="5" t="s">
        <v>58</v>
      </c>
      <c r="F368" s="5" t="s">
        <v>61</v>
      </c>
      <c r="G368" s="5" t="n">
        <v>225</v>
      </c>
      <c r="H368" s="12" t="n">
        <v>24.5</v>
      </c>
      <c r="I368" s="12" t="n">
        <v>5512.5</v>
      </c>
      <c r="J368" s="12" t="n">
        <v>2655</v>
      </c>
      <c r="K368" s="12" t="n">
        <f aca="false">I368-J368</f>
        <v>2857.5</v>
      </c>
    </row>
    <row r="369" customFormat="false" ht="15" hidden="false" customHeight="false" outlineLevel="0" collapsed="false">
      <c r="A369" s="11" t="n">
        <v>46115</v>
      </c>
      <c r="B369" s="5" t="s">
        <v>453</v>
      </c>
      <c r="C369" s="5" t="s">
        <v>85</v>
      </c>
      <c r="D369" s="5" t="s">
        <v>69</v>
      </c>
      <c r="E369" s="5" t="s">
        <v>58</v>
      </c>
      <c r="F369" s="5" t="s">
        <v>59</v>
      </c>
      <c r="G369" s="5" t="n">
        <v>1773</v>
      </c>
      <c r="H369" s="12" t="n">
        <v>3.9</v>
      </c>
      <c r="I369" s="12" t="n">
        <v>6914.7</v>
      </c>
      <c r="J369" s="12" t="n">
        <v>3014.1</v>
      </c>
      <c r="K369" s="12" t="n">
        <f aca="false">I369-J369</f>
        <v>3900.6</v>
      </c>
    </row>
    <row r="370" customFormat="false" ht="15" hidden="false" customHeight="false" outlineLevel="0" collapsed="false">
      <c r="A370" s="11" t="n">
        <v>46115</v>
      </c>
      <c r="B370" s="5" t="s">
        <v>454</v>
      </c>
      <c r="C370" s="5" t="s">
        <v>87</v>
      </c>
      <c r="D370" s="5" t="s">
        <v>64</v>
      </c>
      <c r="E370" s="5" t="s">
        <v>75</v>
      </c>
      <c r="F370" s="5" t="s">
        <v>78</v>
      </c>
      <c r="G370" s="5" t="n">
        <v>239</v>
      </c>
      <c r="H370" s="12" t="n">
        <v>6.1</v>
      </c>
      <c r="I370" s="12" t="n">
        <v>1457.9</v>
      </c>
      <c r="J370" s="12" t="n">
        <v>621.4</v>
      </c>
      <c r="K370" s="12" t="n">
        <f aca="false">I370-J370</f>
        <v>836.5</v>
      </c>
    </row>
    <row r="371" customFormat="false" ht="15" hidden="false" customHeight="false" outlineLevel="0" collapsed="false">
      <c r="A371" s="11" t="n">
        <v>46115</v>
      </c>
      <c r="B371" s="5" t="s">
        <v>455</v>
      </c>
      <c r="C371" s="5" t="s">
        <v>115</v>
      </c>
      <c r="D371" s="5" t="s">
        <v>69</v>
      </c>
      <c r="E371" s="5" t="s">
        <v>70</v>
      </c>
      <c r="F371" s="5" t="s">
        <v>90</v>
      </c>
      <c r="G371" s="5" t="n">
        <v>885</v>
      </c>
      <c r="H371" s="12" t="n">
        <v>2.7</v>
      </c>
      <c r="I371" s="12" t="n">
        <v>2389.5</v>
      </c>
      <c r="J371" s="12" t="n">
        <v>1062</v>
      </c>
      <c r="K371" s="12" t="n">
        <f aca="false">I371-J371</f>
        <v>1327.5</v>
      </c>
    </row>
    <row r="372" customFormat="false" ht="15" hidden="false" customHeight="false" outlineLevel="0" collapsed="false">
      <c r="A372" s="11" t="n">
        <v>46115</v>
      </c>
      <c r="B372" s="5" t="s">
        <v>456</v>
      </c>
      <c r="C372" s="5" t="s">
        <v>115</v>
      </c>
      <c r="D372" s="5" t="s">
        <v>69</v>
      </c>
      <c r="E372" s="5" t="s">
        <v>70</v>
      </c>
      <c r="F372" s="5" t="s">
        <v>92</v>
      </c>
      <c r="G372" s="5" t="n">
        <v>996</v>
      </c>
      <c r="H372" s="12" t="n">
        <v>2.4</v>
      </c>
      <c r="I372" s="12" t="n">
        <v>2390.4</v>
      </c>
      <c r="J372" s="12" t="n">
        <v>946.2</v>
      </c>
      <c r="K372" s="12" t="n">
        <f aca="false">I372-J372</f>
        <v>1444.2</v>
      </c>
    </row>
    <row r="373" customFormat="false" ht="15" hidden="false" customHeight="false" outlineLevel="0" collapsed="false">
      <c r="A373" s="11" t="n">
        <v>46115</v>
      </c>
      <c r="B373" s="5" t="s">
        <v>457</v>
      </c>
      <c r="C373" s="5" t="s">
        <v>85</v>
      </c>
      <c r="D373" s="5" t="s">
        <v>69</v>
      </c>
      <c r="E373" s="5" t="s">
        <v>70</v>
      </c>
      <c r="F373" s="5" t="s">
        <v>90</v>
      </c>
      <c r="G373" s="5" t="n">
        <v>743</v>
      </c>
      <c r="H373" s="12" t="n">
        <v>2.7</v>
      </c>
      <c r="I373" s="12" t="n">
        <v>2006.1</v>
      </c>
      <c r="J373" s="12" t="n">
        <v>891.6</v>
      </c>
      <c r="K373" s="12" t="n">
        <f aca="false">I373-J373</f>
        <v>1114.5</v>
      </c>
    </row>
    <row r="374" customFormat="false" ht="15" hidden="false" customHeight="false" outlineLevel="0" collapsed="false">
      <c r="A374" s="11" t="n">
        <v>46116</v>
      </c>
      <c r="B374" s="5" t="s">
        <v>458</v>
      </c>
      <c r="C374" s="5" t="s">
        <v>85</v>
      </c>
      <c r="D374" s="5" t="s">
        <v>69</v>
      </c>
      <c r="E374" s="5" t="s">
        <v>65</v>
      </c>
      <c r="F374" s="5" t="s">
        <v>88</v>
      </c>
      <c r="G374" s="5" t="n">
        <v>89</v>
      </c>
      <c r="H374" s="12" t="n">
        <v>11.5</v>
      </c>
      <c r="I374" s="12" t="n">
        <v>1023.5</v>
      </c>
      <c r="J374" s="12" t="n">
        <v>453.9</v>
      </c>
      <c r="K374" s="12" t="n">
        <f aca="false">I374-J374</f>
        <v>569.6</v>
      </c>
    </row>
    <row r="375" customFormat="false" ht="15" hidden="false" customHeight="false" outlineLevel="0" collapsed="false">
      <c r="A375" s="11" t="n">
        <v>46116</v>
      </c>
      <c r="B375" s="5" t="s">
        <v>459</v>
      </c>
      <c r="C375" s="5" t="s">
        <v>115</v>
      </c>
      <c r="D375" s="5" t="s">
        <v>69</v>
      </c>
      <c r="E375" s="5" t="s">
        <v>70</v>
      </c>
      <c r="F375" s="5" t="s">
        <v>90</v>
      </c>
      <c r="G375" s="5" t="n">
        <v>885</v>
      </c>
      <c r="H375" s="12" t="n">
        <v>2.7</v>
      </c>
      <c r="I375" s="12" t="n">
        <v>2389.5</v>
      </c>
      <c r="J375" s="12" t="n">
        <v>1062</v>
      </c>
      <c r="K375" s="12" t="n">
        <f aca="false">I375-J375</f>
        <v>1327.5</v>
      </c>
    </row>
    <row r="376" customFormat="false" ht="15" hidden="false" customHeight="false" outlineLevel="0" collapsed="false">
      <c r="A376" s="11" t="n">
        <v>46117</v>
      </c>
      <c r="B376" s="5" t="s">
        <v>460</v>
      </c>
      <c r="C376" s="5" t="s">
        <v>99</v>
      </c>
      <c r="D376" s="5" t="s">
        <v>69</v>
      </c>
      <c r="E376" s="5" t="s">
        <v>70</v>
      </c>
      <c r="F376" s="5" t="s">
        <v>92</v>
      </c>
      <c r="G376" s="5" t="n">
        <v>2563</v>
      </c>
      <c r="H376" s="12" t="n">
        <v>2.3</v>
      </c>
      <c r="I376" s="12" t="n">
        <v>5894.9</v>
      </c>
      <c r="J376" s="12" t="n">
        <v>2434.85</v>
      </c>
      <c r="K376" s="12" t="n">
        <f aca="false">I376-J376</f>
        <v>3460.05</v>
      </c>
    </row>
    <row r="377" customFormat="false" ht="15" hidden="false" customHeight="false" outlineLevel="0" collapsed="false">
      <c r="A377" s="11" t="n">
        <v>46118</v>
      </c>
      <c r="B377" s="5" t="s">
        <v>461</v>
      </c>
      <c r="C377" s="5" t="s">
        <v>99</v>
      </c>
      <c r="D377" s="5" t="s">
        <v>69</v>
      </c>
      <c r="E377" s="5" t="s">
        <v>58</v>
      </c>
      <c r="F377" s="5" t="s">
        <v>96</v>
      </c>
      <c r="G377" s="5" t="n">
        <v>10496</v>
      </c>
      <c r="H377" s="12" t="n">
        <v>2.02</v>
      </c>
      <c r="I377" s="12" t="n">
        <v>21201.92</v>
      </c>
      <c r="J377" s="12" t="n">
        <v>9656.32</v>
      </c>
      <c r="K377" s="12" t="n">
        <f aca="false">I377-J377</f>
        <v>11545.6</v>
      </c>
    </row>
    <row r="378" customFormat="false" ht="15" hidden="false" customHeight="false" outlineLevel="0" collapsed="false">
      <c r="A378" s="11" t="n">
        <v>46118</v>
      </c>
      <c r="B378" s="5" t="s">
        <v>462</v>
      </c>
      <c r="C378" s="5" t="s">
        <v>73</v>
      </c>
      <c r="D378" s="5" t="s">
        <v>64</v>
      </c>
      <c r="E378" s="5" t="s">
        <v>58</v>
      </c>
      <c r="F378" s="5" t="s">
        <v>117</v>
      </c>
      <c r="G378" s="5" t="n">
        <v>2947</v>
      </c>
      <c r="H378" s="12" t="n">
        <v>3.26</v>
      </c>
      <c r="I378" s="12" t="n">
        <v>9607.22</v>
      </c>
      <c r="J378" s="12" t="n">
        <v>4273.15</v>
      </c>
      <c r="K378" s="12" t="n">
        <f aca="false">I378-J378</f>
        <v>5334.07</v>
      </c>
    </row>
    <row r="379" customFormat="false" ht="15" hidden="false" customHeight="false" outlineLevel="0" collapsed="false">
      <c r="A379" s="11" t="n">
        <v>46118</v>
      </c>
      <c r="B379" s="5" t="s">
        <v>463</v>
      </c>
      <c r="C379" s="5" t="s">
        <v>94</v>
      </c>
      <c r="D379" s="5" t="s">
        <v>95</v>
      </c>
      <c r="E379" s="5" t="s">
        <v>58</v>
      </c>
      <c r="F379" s="5" t="s">
        <v>61</v>
      </c>
      <c r="G379" s="5" t="n">
        <v>416</v>
      </c>
      <c r="H379" s="12" t="n">
        <v>24.5</v>
      </c>
      <c r="I379" s="12" t="n">
        <v>10192</v>
      </c>
      <c r="J379" s="12" t="n">
        <v>4908.8</v>
      </c>
      <c r="K379" s="12" t="n">
        <f aca="false">I379-J379</f>
        <v>5283.2</v>
      </c>
    </row>
    <row r="380" customFormat="false" ht="15" hidden="false" customHeight="false" outlineLevel="0" collapsed="false">
      <c r="A380" s="11" t="n">
        <v>46118</v>
      </c>
      <c r="B380" s="5" t="s">
        <v>464</v>
      </c>
      <c r="C380" s="5" t="s">
        <v>68</v>
      </c>
      <c r="D380" s="5" t="s">
        <v>69</v>
      </c>
      <c r="E380" s="5" t="s">
        <v>58</v>
      </c>
      <c r="F380" s="5" t="s">
        <v>59</v>
      </c>
      <c r="G380" s="5" t="n">
        <v>1595</v>
      </c>
      <c r="H380" s="12" t="n">
        <v>3.9</v>
      </c>
      <c r="I380" s="12" t="n">
        <v>6220.5</v>
      </c>
      <c r="J380" s="12" t="n">
        <v>2711.5</v>
      </c>
      <c r="K380" s="12" t="n">
        <f aca="false">I380-J380</f>
        <v>3509</v>
      </c>
    </row>
    <row r="381" customFormat="false" ht="15" hidden="false" customHeight="false" outlineLevel="0" collapsed="false">
      <c r="A381" s="11" t="n">
        <v>46118</v>
      </c>
      <c r="B381" s="5" t="s">
        <v>465</v>
      </c>
      <c r="C381" s="5" t="s">
        <v>85</v>
      </c>
      <c r="D381" s="5" t="s">
        <v>69</v>
      </c>
      <c r="E381" s="5" t="s">
        <v>58</v>
      </c>
      <c r="F381" s="5" t="s">
        <v>117</v>
      </c>
      <c r="G381" s="5" t="n">
        <v>2033</v>
      </c>
      <c r="H381" s="12" t="n">
        <v>3.4</v>
      </c>
      <c r="I381" s="12" t="n">
        <v>6912.2</v>
      </c>
      <c r="J381" s="12" t="n">
        <v>2947.85</v>
      </c>
      <c r="K381" s="12" t="n">
        <f aca="false">I381-J381</f>
        <v>3964.35</v>
      </c>
    </row>
    <row r="382" customFormat="false" ht="15" hidden="false" customHeight="false" outlineLevel="0" collapsed="false">
      <c r="A382" s="11" t="n">
        <v>46118</v>
      </c>
      <c r="B382" s="5" t="s">
        <v>466</v>
      </c>
      <c r="C382" s="5" t="s">
        <v>94</v>
      </c>
      <c r="D382" s="5" t="s">
        <v>95</v>
      </c>
      <c r="E382" s="5" t="s">
        <v>75</v>
      </c>
      <c r="F382" s="5" t="s">
        <v>76</v>
      </c>
      <c r="G382" s="5" t="n">
        <v>235</v>
      </c>
      <c r="H382" s="12" t="n">
        <v>4.8</v>
      </c>
      <c r="I382" s="12" t="n">
        <v>1128</v>
      </c>
      <c r="J382" s="12" t="n">
        <v>481.75</v>
      </c>
      <c r="K382" s="12" t="n">
        <f aca="false">I382-J382</f>
        <v>646.25</v>
      </c>
    </row>
    <row r="383" customFormat="false" ht="15" hidden="false" customHeight="false" outlineLevel="0" collapsed="false">
      <c r="A383" s="11" t="n">
        <v>46118</v>
      </c>
      <c r="B383" s="5" t="s">
        <v>467</v>
      </c>
      <c r="C383" s="5" t="s">
        <v>73</v>
      </c>
      <c r="D383" s="5" t="s">
        <v>64</v>
      </c>
      <c r="E383" s="5" t="s">
        <v>65</v>
      </c>
      <c r="F383" s="5" t="s">
        <v>88</v>
      </c>
      <c r="G383" s="5" t="n">
        <v>629</v>
      </c>
      <c r="H383" s="12" t="n">
        <v>11.04</v>
      </c>
      <c r="I383" s="12" t="n">
        <v>6944.16</v>
      </c>
      <c r="J383" s="12" t="n">
        <v>3207.9</v>
      </c>
      <c r="K383" s="12" t="n">
        <f aca="false">I383-J383</f>
        <v>3736.26</v>
      </c>
    </row>
    <row r="384" customFormat="false" ht="15" hidden="false" customHeight="false" outlineLevel="0" collapsed="false">
      <c r="A384" s="11" t="n">
        <v>46118</v>
      </c>
      <c r="B384" s="5" t="s">
        <v>468</v>
      </c>
      <c r="C384" s="5" t="s">
        <v>115</v>
      </c>
      <c r="D384" s="5" t="s">
        <v>69</v>
      </c>
      <c r="E384" s="5" t="s">
        <v>65</v>
      </c>
      <c r="F384" s="5" t="s">
        <v>88</v>
      </c>
      <c r="G384" s="5" t="n">
        <v>214</v>
      </c>
      <c r="H384" s="12" t="n">
        <v>11.5</v>
      </c>
      <c r="I384" s="12" t="n">
        <v>2461</v>
      </c>
      <c r="J384" s="12" t="n">
        <v>1091.4</v>
      </c>
      <c r="K384" s="12" t="n">
        <f aca="false">I384-J384</f>
        <v>1369.6</v>
      </c>
    </row>
    <row r="385" customFormat="false" ht="15" hidden="false" customHeight="false" outlineLevel="0" collapsed="false">
      <c r="A385" s="11" t="n">
        <v>46119</v>
      </c>
      <c r="B385" s="5" t="s">
        <v>469</v>
      </c>
      <c r="C385" s="5" t="s">
        <v>99</v>
      </c>
      <c r="D385" s="5" t="s">
        <v>69</v>
      </c>
      <c r="E385" s="5" t="s">
        <v>75</v>
      </c>
      <c r="F385" s="5" t="s">
        <v>76</v>
      </c>
      <c r="G385" s="5" t="n">
        <v>543</v>
      </c>
      <c r="H385" s="12" t="n">
        <v>4.61</v>
      </c>
      <c r="I385" s="12" t="n">
        <v>2503.23</v>
      </c>
      <c r="J385" s="12" t="n">
        <v>1113.15</v>
      </c>
      <c r="K385" s="12" t="n">
        <f aca="false">I385-J385</f>
        <v>1390.08</v>
      </c>
    </row>
    <row r="386" customFormat="false" ht="15" hidden="false" customHeight="false" outlineLevel="0" collapsed="false">
      <c r="A386" s="11" t="n">
        <v>46119</v>
      </c>
      <c r="B386" s="5" t="s">
        <v>470</v>
      </c>
      <c r="C386" s="5" t="s">
        <v>73</v>
      </c>
      <c r="D386" s="5" t="s">
        <v>64</v>
      </c>
      <c r="E386" s="5" t="s">
        <v>75</v>
      </c>
      <c r="F386" s="5" t="s">
        <v>78</v>
      </c>
      <c r="G386" s="5" t="n">
        <v>209</v>
      </c>
      <c r="H386" s="12" t="n">
        <v>5.86</v>
      </c>
      <c r="I386" s="12" t="n">
        <v>1224.74</v>
      </c>
      <c r="J386" s="12" t="n">
        <v>543.4</v>
      </c>
      <c r="K386" s="12" t="n">
        <f aca="false">I386-J386</f>
        <v>681.34</v>
      </c>
    </row>
    <row r="387" customFormat="false" ht="15" hidden="false" customHeight="false" outlineLevel="0" collapsed="false">
      <c r="A387" s="11" t="n">
        <v>46119</v>
      </c>
      <c r="B387" s="5" t="s">
        <v>471</v>
      </c>
      <c r="C387" s="5" t="s">
        <v>115</v>
      </c>
      <c r="D387" s="5" t="s">
        <v>69</v>
      </c>
      <c r="E387" s="5" t="s">
        <v>75</v>
      </c>
      <c r="F387" s="5" t="s">
        <v>83</v>
      </c>
      <c r="G387" s="5" t="n">
        <v>439</v>
      </c>
      <c r="H387" s="12" t="n">
        <v>4.2</v>
      </c>
      <c r="I387" s="12" t="n">
        <v>1843.8</v>
      </c>
      <c r="J387" s="12" t="n">
        <v>812.15</v>
      </c>
      <c r="K387" s="12" t="n">
        <f aca="false">I387-J387</f>
        <v>1031.65</v>
      </c>
    </row>
    <row r="388" customFormat="false" ht="15" hidden="false" customHeight="false" outlineLevel="0" collapsed="false">
      <c r="A388" s="11" t="n">
        <v>46120</v>
      </c>
      <c r="B388" s="5" t="s">
        <v>472</v>
      </c>
      <c r="C388" s="5" t="s">
        <v>63</v>
      </c>
      <c r="D388" s="5" t="s">
        <v>64</v>
      </c>
      <c r="E388" s="5" t="s">
        <v>58</v>
      </c>
      <c r="F388" s="5" t="s">
        <v>59</v>
      </c>
      <c r="G388" s="5" t="n">
        <v>7513</v>
      </c>
      <c r="H388" s="12" t="n">
        <v>3.9</v>
      </c>
      <c r="I388" s="12" t="n">
        <v>29300.7</v>
      </c>
      <c r="J388" s="12" t="n">
        <v>12772.1</v>
      </c>
      <c r="K388" s="12" t="n">
        <f aca="false">I388-J388</f>
        <v>16528.6</v>
      </c>
    </row>
    <row r="389" customFormat="false" ht="15" hidden="false" customHeight="false" outlineLevel="0" collapsed="false">
      <c r="A389" s="11" t="n">
        <v>46120</v>
      </c>
      <c r="B389" s="5" t="s">
        <v>473</v>
      </c>
      <c r="C389" s="5" t="s">
        <v>63</v>
      </c>
      <c r="D389" s="5" t="s">
        <v>64</v>
      </c>
      <c r="E389" s="5" t="s">
        <v>65</v>
      </c>
      <c r="F389" s="5" t="s">
        <v>88</v>
      </c>
      <c r="G389" s="5" t="n">
        <v>819</v>
      </c>
      <c r="H389" s="12" t="n">
        <v>11.5</v>
      </c>
      <c r="I389" s="12" t="n">
        <v>9418.5</v>
      </c>
      <c r="J389" s="12" t="n">
        <v>4176.9</v>
      </c>
      <c r="K389" s="12" t="n">
        <f aca="false">I389-J389</f>
        <v>5241.6</v>
      </c>
    </row>
    <row r="390" customFormat="false" ht="15" hidden="false" customHeight="false" outlineLevel="0" collapsed="false">
      <c r="A390" s="11" t="n">
        <v>46120</v>
      </c>
      <c r="B390" s="5" t="s">
        <v>474</v>
      </c>
      <c r="C390" s="5" t="s">
        <v>73</v>
      </c>
      <c r="D390" s="5" t="s">
        <v>64</v>
      </c>
      <c r="E390" s="5" t="s">
        <v>70</v>
      </c>
      <c r="F390" s="5" t="s">
        <v>92</v>
      </c>
      <c r="G390" s="5" t="n">
        <v>1529</v>
      </c>
      <c r="H390" s="12" t="n">
        <v>2.3</v>
      </c>
      <c r="I390" s="12" t="n">
        <v>3516.7</v>
      </c>
      <c r="J390" s="12" t="n">
        <v>1452.55</v>
      </c>
      <c r="K390" s="12" t="n">
        <f aca="false">I390-J390</f>
        <v>2064.15</v>
      </c>
    </row>
    <row r="391" customFormat="false" ht="15" hidden="false" customHeight="false" outlineLevel="0" collapsed="false">
      <c r="A391" s="11" t="n">
        <v>46120</v>
      </c>
      <c r="B391" s="5" t="s">
        <v>475</v>
      </c>
      <c r="C391" s="5" t="s">
        <v>68</v>
      </c>
      <c r="D391" s="5" t="s">
        <v>69</v>
      </c>
      <c r="E391" s="5" t="s">
        <v>70</v>
      </c>
      <c r="F391" s="5" t="s">
        <v>92</v>
      </c>
      <c r="G391" s="5" t="n">
        <v>732</v>
      </c>
      <c r="H391" s="12" t="n">
        <v>2.4</v>
      </c>
      <c r="I391" s="12" t="n">
        <v>1756.8</v>
      </c>
      <c r="J391" s="12" t="n">
        <v>695.4</v>
      </c>
      <c r="K391" s="12" t="n">
        <f aca="false">I391-J391</f>
        <v>1061.4</v>
      </c>
    </row>
    <row r="392" customFormat="false" ht="15" hidden="false" customHeight="false" outlineLevel="0" collapsed="false">
      <c r="A392" s="11" t="n">
        <v>46121</v>
      </c>
      <c r="B392" s="5" t="s">
        <v>476</v>
      </c>
      <c r="C392" s="5" t="s">
        <v>94</v>
      </c>
      <c r="D392" s="5" t="s">
        <v>95</v>
      </c>
      <c r="E392" s="5" t="s">
        <v>75</v>
      </c>
      <c r="F392" s="5" t="s">
        <v>83</v>
      </c>
      <c r="G392" s="5" t="n">
        <v>268</v>
      </c>
      <c r="H392" s="12" t="n">
        <v>4.2</v>
      </c>
      <c r="I392" s="12" t="n">
        <v>1125.6</v>
      </c>
      <c r="J392" s="12" t="n">
        <v>495.8</v>
      </c>
      <c r="K392" s="12" t="n">
        <f aca="false">I392-J392</f>
        <v>629.8</v>
      </c>
    </row>
    <row r="393" customFormat="false" ht="15" hidden="false" customHeight="false" outlineLevel="0" collapsed="false">
      <c r="A393" s="11" t="n">
        <v>46121</v>
      </c>
      <c r="B393" s="5" t="s">
        <v>477</v>
      </c>
      <c r="C393" s="5" t="s">
        <v>73</v>
      </c>
      <c r="D393" s="5" t="s">
        <v>64</v>
      </c>
      <c r="E393" s="5" t="s">
        <v>70</v>
      </c>
      <c r="F393" s="5" t="s">
        <v>92</v>
      </c>
      <c r="G393" s="5" t="n">
        <v>1529</v>
      </c>
      <c r="H393" s="12" t="n">
        <v>2.3</v>
      </c>
      <c r="I393" s="12" t="n">
        <v>3516.7</v>
      </c>
      <c r="J393" s="12" t="n">
        <v>1452.55</v>
      </c>
      <c r="K393" s="12" t="n">
        <f aca="false">I393-J393</f>
        <v>2064.15</v>
      </c>
    </row>
    <row r="394" customFormat="false" ht="15" hidden="false" customHeight="false" outlineLevel="0" collapsed="false">
      <c r="A394" s="11" t="n">
        <v>46121</v>
      </c>
      <c r="B394" s="5" t="s">
        <v>478</v>
      </c>
      <c r="C394" s="5" t="s">
        <v>68</v>
      </c>
      <c r="D394" s="5" t="s">
        <v>69</v>
      </c>
      <c r="E394" s="5" t="s">
        <v>70</v>
      </c>
      <c r="F394" s="5" t="s">
        <v>90</v>
      </c>
      <c r="G394" s="5" t="n">
        <v>651</v>
      </c>
      <c r="H394" s="12" t="n">
        <v>2.7</v>
      </c>
      <c r="I394" s="12" t="n">
        <v>1757.7</v>
      </c>
      <c r="J394" s="12" t="n">
        <v>781.2</v>
      </c>
      <c r="K394" s="12" t="n">
        <f aca="false">I394-J394</f>
        <v>976.5</v>
      </c>
    </row>
    <row r="395" customFormat="false" ht="15" hidden="false" customHeight="false" outlineLevel="0" collapsed="false">
      <c r="A395" s="11" t="n">
        <v>46122</v>
      </c>
      <c r="B395" s="5" t="s">
        <v>479</v>
      </c>
      <c r="C395" s="5" t="s">
        <v>63</v>
      </c>
      <c r="D395" s="5" t="s">
        <v>64</v>
      </c>
      <c r="E395" s="5" t="s">
        <v>58</v>
      </c>
      <c r="F395" s="5" t="s">
        <v>117</v>
      </c>
      <c r="G395" s="5" t="n">
        <v>8618</v>
      </c>
      <c r="H395" s="12" t="n">
        <v>3.4</v>
      </c>
      <c r="I395" s="12" t="n">
        <v>29301.2</v>
      </c>
      <c r="J395" s="12" t="n">
        <v>12496.1</v>
      </c>
      <c r="K395" s="12" t="n">
        <f aca="false">I395-J395</f>
        <v>16805.1</v>
      </c>
    </row>
    <row r="396" customFormat="false" ht="15" hidden="false" customHeight="false" outlineLevel="0" collapsed="false">
      <c r="A396" s="11" t="n">
        <v>46122</v>
      </c>
      <c r="B396" s="5" t="s">
        <v>480</v>
      </c>
      <c r="C396" s="5" t="s">
        <v>87</v>
      </c>
      <c r="D396" s="5" t="s">
        <v>64</v>
      </c>
      <c r="E396" s="5" t="s">
        <v>58</v>
      </c>
      <c r="F396" s="5" t="s">
        <v>96</v>
      </c>
      <c r="G396" s="5" t="n">
        <v>7552</v>
      </c>
      <c r="H396" s="12" t="n">
        <v>2.1</v>
      </c>
      <c r="I396" s="12" t="n">
        <v>15859.2</v>
      </c>
      <c r="J396" s="12" t="n">
        <v>6947.84</v>
      </c>
      <c r="K396" s="12" t="n">
        <f aca="false">I396-J396</f>
        <v>8911.36</v>
      </c>
    </row>
    <row r="397" customFormat="false" ht="15" hidden="false" customHeight="false" outlineLevel="0" collapsed="false">
      <c r="A397" s="11" t="n">
        <v>46122</v>
      </c>
      <c r="B397" s="5" t="s">
        <v>481</v>
      </c>
      <c r="C397" s="5" t="s">
        <v>56</v>
      </c>
      <c r="D397" s="5" t="s">
        <v>57</v>
      </c>
      <c r="E397" s="5" t="s">
        <v>75</v>
      </c>
      <c r="F397" s="5" t="s">
        <v>76</v>
      </c>
      <c r="G397" s="5" t="n">
        <v>221</v>
      </c>
      <c r="H397" s="12" t="n">
        <v>4.8</v>
      </c>
      <c r="I397" s="12" t="n">
        <v>1060.8</v>
      </c>
      <c r="J397" s="12" t="n">
        <v>453.05</v>
      </c>
      <c r="K397" s="12" t="n">
        <f aca="false">I397-J397</f>
        <v>607.75</v>
      </c>
    </row>
    <row r="398" customFormat="false" ht="15" hidden="false" customHeight="false" outlineLevel="0" collapsed="false">
      <c r="A398" s="11" t="n">
        <v>46123</v>
      </c>
      <c r="B398" s="5" t="s">
        <v>482</v>
      </c>
      <c r="C398" s="5" t="s">
        <v>63</v>
      </c>
      <c r="D398" s="5" t="s">
        <v>64</v>
      </c>
      <c r="E398" s="5" t="s">
        <v>75</v>
      </c>
      <c r="F398" s="5" t="s">
        <v>78</v>
      </c>
      <c r="G398" s="5" t="n">
        <v>561</v>
      </c>
      <c r="H398" s="12" t="n">
        <v>6.1</v>
      </c>
      <c r="I398" s="12" t="n">
        <v>3422.1</v>
      </c>
      <c r="J398" s="12" t="n">
        <v>1458.6</v>
      </c>
      <c r="K398" s="12" t="n">
        <f aca="false">I398-J398</f>
        <v>1963.5</v>
      </c>
    </row>
    <row r="399" customFormat="false" ht="15" hidden="false" customHeight="false" outlineLevel="0" collapsed="false">
      <c r="A399" s="11" t="n">
        <v>46123</v>
      </c>
      <c r="B399" s="5" t="s">
        <v>483</v>
      </c>
      <c r="C399" s="5" t="s">
        <v>68</v>
      </c>
      <c r="D399" s="5" t="s">
        <v>69</v>
      </c>
      <c r="E399" s="5" t="s">
        <v>65</v>
      </c>
      <c r="F399" s="5" t="s">
        <v>103</v>
      </c>
      <c r="G399" s="5" t="n">
        <v>85</v>
      </c>
      <c r="H399" s="12" t="n">
        <v>15.2</v>
      </c>
      <c r="I399" s="12" t="n">
        <v>1292</v>
      </c>
      <c r="J399" s="12" t="n">
        <v>578</v>
      </c>
      <c r="K399" s="12" t="n">
        <f aca="false">I399-J399</f>
        <v>714</v>
      </c>
    </row>
    <row r="400" customFormat="false" ht="15" hidden="false" customHeight="false" outlineLevel="0" collapsed="false">
      <c r="A400" s="11" t="n">
        <v>46123</v>
      </c>
      <c r="B400" s="5" t="s">
        <v>484</v>
      </c>
      <c r="C400" s="5" t="s">
        <v>85</v>
      </c>
      <c r="D400" s="5" t="s">
        <v>69</v>
      </c>
      <c r="E400" s="5" t="s">
        <v>65</v>
      </c>
      <c r="F400" s="5" t="s">
        <v>88</v>
      </c>
      <c r="G400" s="5" t="n">
        <v>89</v>
      </c>
      <c r="H400" s="12" t="n">
        <v>11.5</v>
      </c>
      <c r="I400" s="12" t="n">
        <v>1023.5</v>
      </c>
      <c r="J400" s="12" t="n">
        <v>453.9</v>
      </c>
      <c r="K400" s="12" t="n">
        <f aca="false">I400-J400</f>
        <v>569.6</v>
      </c>
    </row>
    <row r="401" customFormat="false" ht="15" hidden="false" customHeight="false" outlineLevel="0" collapsed="false">
      <c r="A401" s="11" t="n">
        <v>46123</v>
      </c>
      <c r="B401" s="5" t="s">
        <v>485</v>
      </c>
      <c r="C401" s="5" t="s">
        <v>56</v>
      </c>
      <c r="D401" s="5" t="s">
        <v>57</v>
      </c>
      <c r="E401" s="5" t="s">
        <v>65</v>
      </c>
      <c r="F401" s="5" t="s">
        <v>66</v>
      </c>
      <c r="G401" s="5" t="n">
        <v>132</v>
      </c>
      <c r="H401" s="12" t="n">
        <v>24.9</v>
      </c>
      <c r="I401" s="12" t="n">
        <v>3286.8</v>
      </c>
      <c r="J401" s="12" t="n">
        <v>1504.8</v>
      </c>
      <c r="K401" s="12" t="n">
        <f aca="false">I401-J401</f>
        <v>1782</v>
      </c>
    </row>
    <row r="402" customFormat="false" ht="15" hidden="false" customHeight="false" outlineLevel="0" collapsed="false">
      <c r="A402" s="11" t="n">
        <v>46123</v>
      </c>
      <c r="B402" s="5" t="s">
        <v>486</v>
      </c>
      <c r="C402" s="5" t="s">
        <v>81</v>
      </c>
      <c r="D402" s="5" t="s">
        <v>64</v>
      </c>
      <c r="E402" s="5" t="s">
        <v>70</v>
      </c>
      <c r="F402" s="5" t="s">
        <v>71</v>
      </c>
      <c r="G402" s="5" t="n">
        <v>2191</v>
      </c>
      <c r="H402" s="12" t="n">
        <v>2.95</v>
      </c>
      <c r="I402" s="12" t="n">
        <v>6463.45</v>
      </c>
      <c r="J402" s="12" t="n">
        <v>2848.3</v>
      </c>
      <c r="K402" s="12" t="n">
        <f aca="false">I402-J402</f>
        <v>3615.15</v>
      </c>
    </row>
    <row r="403" customFormat="false" ht="15" hidden="false" customHeight="false" outlineLevel="0" collapsed="false">
      <c r="A403" s="11" t="n">
        <v>46123</v>
      </c>
      <c r="B403" s="5" t="s">
        <v>487</v>
      </c>
      <c r="C403" s="5" t="s">
        <v>68</v>
      </c>
      <c r="D403" s="5" t="s">
        <v>69</v>
      </c>
      <c r="E403" s="5" t="s">
        <v>70</v>
      </c>
      <c r="F403" s="5" t="s">
        <v>92</v>
      </c>
      <c r="G403" s="5" t="n">
        <v>732</v>
      </c>
      <c r="H403" s="12" t="n">
        <v>2.4</v>
      </c>
      <c r="I403" s="12" t="n">
        <v>1756.8</v>
      </c>
      <c r="J403" s="12" t="n">
        <v>695.4</v>
      </c>
      <c r="K403" s="12" t="n">
        <f aca="false">I403-J403</f>
        <v>1061.4</v>
      </c>
    </row>
    <row r="404" customFormat="false" ht="15" hidden="false" customHeight="false" outlineLevel="0" collapsed="false">
      <c r="A404" s="11" t="n">
        <v>46123</v>
      </c>
      <c r="B404" s="5" t="s">
        <v>488</v>
      </c>
      <c r="C404" s="5" t="s">
        <v>68</v>
      </c>
      <c r="D404" s="5" t="s">
        <v>69</v>
      </c>
      <c r="E404" s="5" t="s">
        <v>70</v>
      </c>
      <c r="F404" s="5" t="s">
        <v>92</v>
      </c>
      <c r="G404" s="5" t="n">
        <v>732</v>
      </c>
      <c r="H404" s="12" t="n">
        <v>2.4</v>
      </c>
      <c r="I404" s="12" t="n">
        <v>1756.8</v>
      </c>
      <c r="J404" s="12" t="n">
        <v>695.4</v>
      </c>
      <c r="K404" s="12" t="n">
        <f aca="false">I404-J404</f>
        <v>1061.4</v>
      </c>
    </row>
    <row r="405" customFormat="false" ht="15" hidden="false" customHeight="false" outlineLevel="0" collapsed="false">
      <c r="A405" s="11" t="n">
        <v>46124</v>
      </c>
      <c r="B405" s="5" t="s">
        <v>489</v>
      </c>
      <c r="C405" s="5" t="s">
        <v>115</v>
      </c>
      <c r="D405" s="5" t="s">
        <v>69</v>
      </c>
      <c r="E405" s="5" t="s">
        <v>58</v>
      </c>
      <c r="F405" s="5" t="s">
        <v>61</v>
      </c>
      <c r="G405" s="5" t="n">
        <v>225</v>
      </c>
      <c r="H405" s="12" t="n">
        <v>24.5</v>
      </c>
      <c r="I405" s="12" t="n">
        <v>5512.5</v>
      </c>
      <c r="J405" s="12" t="n">
        <v>2655</v>
      </c>
      <c r="K405" s="12" t="n">
        <f aca="false">I405-J405</f>
        <v>2857.5</v>
      </c>
    </row>
    <row r="406" customFormat="false" ht="15" hidden="false" customHeight="false" outlineLevel="0" collapsed="false">
      <c r="A406" s="11" t="n">
        <v>46124</v>
      </c>
      <c r="B406" s="5" t="s">
        <v>490</v>
      </c>
      <c r="C406" s="5" t="s">
        <v>56</v>
      </c>
      <c r="D406" s="5" t="s">
        <v>57</v>
      </c>
      <c r="E406" s="5" t="s">
        <v>58</v>
      </c>
      <c r="F406" s="5" t="s">
        <v>96</v>
      </c>
      <c r="G406" s="5" t="n">
        <v>4346</v>
      </c>
      <c r="H406" s="12" t="n">
        <v>2.1</v>
      </c>
      <c r="I406" s="12" t="n">
        <v>9126.6</v>
      </c>
      <c r="J406" s="12" t="n">
        <v>3998.32</v>
      </c>
      <c r="K406" s="12" t="n">
        <f aca="false">I406-J406</f>
        <v>5128.28</v>
      </c>
    </row>
    <row r="407" customFormat="false" ht="15" hidden="false" customHeight="false" outlineLevel="0" collapsed="false">
      <c r="A407" s="11" t="n">
        <v>46124</v>
      </c>
      <c r="B407" s="5" t="s">
        <v>491</v>
      </c>
      <c r="C407" s="5" t="s">
        <v>81</v>
      </c>
      <c r="D407" s="5" t="s">
        <v>64</v>
      </c>
      <c r="E407" s="5" t="s">
        <v>65</v>
      </c>
      <c r="F407" s="5" t="s">
        <v>66</v>
      </c>
      <c r="G407" s="5" t="n">
        <v>189</v>
      </c>
      <c r="H407" s="12" t="n">
        <v>24.9</v>
      </c>
      <c r="I407" s="12" t="n">
        <v>4706.1</v>
      </c>
      <c r="J407" s="12" t="n">
        <v>2154.6</v>
      </c>
      <c r="K407" s="12" t="n">
        <f aca="false">I407-J407</f>
        <v>2551.5</v>
      </c>
    </row>
    <row r="408" customFormat="false" ht="15" hidden="false" customHeight="false" outlineLevel="0" collapsed="false">
      <c r="A408" s="11" t="n">
        <v>46124</v>
      </c>
      <c r="B408" s="5" t="s">
        <v>492</v>
      </c>
      <c r="C408" s="5" t="s">
        <v>81</v>
      </c>
      <c r="D408" s="5" t="s">
        <v>64</v>
      </c>
      <c r="E408" s="5" t="s">
        <v>65</v>
      </c>
      <c r="F408" s="5" t="s">
        <v>103</v>
      </c>
      <c r="G408" s="5" t="n">
        <v>309</v>
      </c>
      <c r="H408" s="12" t="n">
        <v>15.2</v>
      </c>
      <c r="I408" s="12" t="n">
        <v>4696.8</v>
      </c>
      <c r="J408" s="12" t="n">
        <v>2101.2</v>
      </c>
      <c r="K408" s="12" t="n">
        <f aca="false">I408-J408</f>
        <v>2595.6</v>
      </c>
    </row>
    <row r="409" customFormat="false" ht="15" hidden="false" customHeight="false" outlineLevel="0" collapsed="false">
      <c r="A409" s="11" t="n">
        <v>46124</v>
      </c>
      <c r="B409" s="5" t="s">
        <v>493</v>
      </c>
      <c r="C409" s="5" t="s">
        <v>87</v>
      </c>
      <c r="D409" s="5" t="s">
        <v>64</v>
      </c>
      <c r="E409" s="5" t="s">
        <v>70</v>
      </c>
      <c r="F409" s="5" t="s">
        <v>92</v>
      </c>
      <c r="G409" s="5" t="n">
        <v>2624</v>
      </c>
      <c r="H409" s="12" t="n">
        <v>2.4</v>
      </c>
      <c r="I409" s="12" t="n">
        <v>6297.6</v>
      </c>
      <c r="J409" s="12" t="n">
        <v>2492.8</v>
      </c>
      <c r="K409" s="12" t="n">
        <f aca="false">I409-J409</f>
        <v>3804.8</v>
      </c>
    </row>
    <row r="410" customFormat="false" ht="15" hidden="false" customHeight="false" outlineLevel="0" collapsed="false">
      <c r="A410" s="11" t="n">
        <v>46125</v>
      </c>
      <c r="B410" s="5" t="s">
        <v>494</v>
      </c>
      <c r="C410" s="5" t="s">
        <v>81</v>
      </c>
      <c r="D410" s="5" t="s">
        <v>64</v>
      </c>
      <c r="E410" s="5" t="s">
        <v>58</v>
      </c>
      <c r="F410" s="5" t="s">
        <v>61</v>
      </c>
      <c r="G410" s="5" t="n">
        <v>977</v>
      </c>
      <c r="H410" s="12" t="n">
        <v>24.5</v>
      </c>
      <c r="I410" s="12" t="n">
        <v>23936.5</v>
      </c>
      <c r="J410" s="12" t="n">
        <v>11528.6</v>
      </c>
      <c r="K410" s="12" t="n">
        <f aca="false">I410-J410</f>
        <v>12407.9</v>
      </c>
    </row>
    <row r="411" customFormat="false" ht="15" hidden="false" customHeight="false" outlineLevel="0" collapsed="false">
      <c r="A411" s="11" t="n">
        <v>46125</v>
      </c>
      <c r="B411" s="5" t="s">
        <v>495</v>
      </c>
      <c r="C411" s="5" t="s">
        <v>94</v>
      </c>
      <c r="D411" s="5" t="s">
        <v>95</v>
      </c>
      <c r="E411" s="5" t="s">
        <v>58</v>
      </c>
      <c r="F411" s="5" t="s">
        <v>96</v>
      </c>
      <c r="G411" s="5" t="n">
        <v>4859</v>
      </c>
      <c r="H411" s="12" t="n">
        <v>2.1</v>
      </c>
      <c r="I411" s="12" t="n">
        <v>10203.9</v>
      </c>
      <c r="J411" s="12" t="n">
        <v>4470.28</v>
      </c>
      <c r="K411" s="12" t="n">
        <f aca="false">I411-J411</f>
        <v>5733.62</v>
      </c>
    </row>
    <row r="412" customFormat="false" ht="15" hidden="false" customHeight="false" outlineLevel="0" collapsed="false">
      <c r="A412" s="11" t="n">
        <v>46125</v>
      </c>
      <c r="B412" s="5" t="s">
        <v>496</v>
      </c>
      <c r="C412" s="5" t="s">
        <v>56</v>
      </c>
      <c r="D412" s="5" t="s">
        <v>57</v>
      </c>
      <c r="E412" s="5" t="s">
        <v>58</v>
      </c>
      <c r="F412" s="5" t="s">
        <v>59</v>
      </c>
      <c r="G412" s="5" t="n">
        <v>2340</v>
      </c>
      <c r="H412" s="12" t="n">
        <v>3.9</v>
      </c>
      <c r="I412" s="12" t="n">
        <v>9126</v>
      </c>
      <c r="J412" s="12" t="n">
        <v>3978</v>
      </c>
      <c r="K412" s="12" t="n">
        <f aca="false">I412-J412</f>
        <v>5148</v>
      </c>
    </row>
    <row r="413" customFormat="false" ht="15" hidden="false" customHeight="false" outlineLevel="0" collapsed="false">
      <c r="A413" s="11" t="n">
        <v>46125</v>
      </c>
      <c r="B413" s="5" t="s">
        <v>497</v>
      </c>
      <c r="C413" s="5" t="s">
        <v>85</v>
      </c>
      <c r="D413" s="5" t="s">
        <v>69</v>
      </c>
      <c r="E413" s="5" t="s">
        <v>75</v>
      </c>
      <c r="F413" s="5" t="s">
        <v>76</v>
      </c>
      <c r="G413" s="5" t="n">
        <v>99</v>
      </c>
      <c r="H413" s="12" t="n">
        <v>4.8</v>
      </c>
      <c r="I413" s="12" t="n">
        <v>475.2</v>
      </c>
      <c r="J413" s="12" t="n">
        <v>202.95</v>
      </c>
      <c r="K413" s="12" t="n">
        <f aca="false">I413-J413</f>
        <v>272.25</v>
      </c>
    </row>
    <row r="414" customFormat="false" ht="15" hidden="false" customHeight="false" outlineLevel="0" collapsed="false">
      <c r="A414" s="11" t="n">
        <v>46125</v>
      </c>
      <c r="B414" s="5" t="s">
        <v>498</v>
      </c>
      <c r="C414" s="5" t="s">
        <v>68</v>
      </c>
      <c r="D414" s="5" t="s">
        <v>69</v>
      </c>
      <c r="E414" s="5" t="s">
        <v>65</v>
      </c>
      <c r="F414" s="5" t="s">
        <v>88</v>
      </c>
      <c r="G414" s="5" t="n">
        <v>113</v>
      </c>
      <c r="H414" s="12" t="n">
        <v>11.5</v>
      </c>
      <c r="I414" s="12" t="n">
        <v>1299.5</v>
      </c>
      <c r="J414" s="12" t="n">
        <v>576.3</v>
      </c>
      <c r="K414" s="12" t="n">
        <f aca="false">I414-J414</f>
        <v>723.2</v>
      </c>
    </row>
    <row r="415" customFormat="false" ht="15" hidden="false" customHeight="false" outlineLevel="0" collapsed="false">
      <c r="A415" s="11" t="n">
        <v>46125</v>
      </c>
      <c r="B415" s="5" t="s">
        <v>499</v>
      </c>
      <c r="C415" s="5" t="s">
        <v>56</v>
      </c>
      <c r="D415" s="5" t="s">
        <v>57</v>
      </c>
      <c r="E415" s="5" t="s">
        <v>65</v>
      </c>
      <c r="F415" s="5" t="s">
        <v>66</v>
      </c>
      <c r="G415" s="5" t="n">
        <v>132</v>
      </c>
      <c r="H415" s="12" t="n">
        <v>24.9</v>
      </c>
      <c r="I415" s="12" t="n">
        <v>3286.8</v>
      </c>
      <c r="J415" s="12" t="n">
        <v>1504.8</v>
      </c>
      <c r="K415" s="12" t="n">
        <f aca="false">I415-J415</f>
        <v>1782</v>
      </c>
    </row>
    <row r="416" customFormat="false" ht="15" hidden="false" customHeight="false" outlineLevel="0" collapsed="false">
      <c r="A416" s="11" t="n">
        <v>46125</v>
      </c>
      <c r="B416" s="5" t="s">
        <v>500</v>
      </c>
      <c r="C416" s="5" t="s">
        <v>94</v>
      </c>
      <c r="D416" s="5" t="s">
        <v>95</v>
      </c>
      <c r="E416" s="5" t="s">
        <v>70</v>
      </c>
      <c r="F416" s="5" t="s">
        <v>92</v>
      </c>
      <c r="G416" s="5" t="n">
        <v>1690</v>
      </c>
      <c r="H416" s="12" t="n">
        <v>2.4</v>
      </c>
      <c r="I416" s="12" t="n">
        <v>4056</v>
      </c>
      <c r="J416" s="12" t="n">
        <v>1605.5</v>
      </c>
      <c r="K416" s="12" t="n">
        <f aca="false">I416-J416</f>
        <v>2450.5</v>
      </c>
    </row>
    <row r="417" customFormat="false" ht="15" hidden="false" customHeight="false" outlineLevel="0" collapsed="false">
      <c r="A417" s="11" t="n">
        <v>46126</v>
      </c>
      <c r="B417" s="5" t="s">
        <v>501</v>
      </c>
      <c r="C417" s="5" t="s">
        <v>99</v>
      </c>
      <c r="D417" s="5" t="s">
        <v>69</v>
      </c>
      <c r="E417" s="5" t="s">
        <v>58</v>
      </c>
      <c r="F417" s="5" t="s">
        <v>59</v>
      </c>
      <c r="G417" s="5" t="n">
        <v>5668</v>
      </c>
      <c r="H417" s="12" t="n">
        <v>3.74</v>
      </c>
      <c r="I417" s="12" t="n">
        <v>21198.32</v>
      </c>
      <c r="J417" s="12" t="n">
        <v>9635.6</v>
      </c>
      <c r="K417" s="12" t="n">
        <f aca="false">I417-J417</f>
        <v>11562.72</v>
      </c>
    </row>
    <row r="418" customFormat="false" ht="15" hidden="false" customHeight="false" outlineLevel="0" collapsed="false">
      <c r="A418" s="11" t="n">
        <v>46126</v>
      </c>
      <c r="B418" s="5" t="s">
        <v>502</v>
      </c>
      <c r="C418" s="5" t="s">
        <v>94</v>
      </c>
      <c r="D418" s="5" t="s">
        <v>95</v>
      </c>
      <c r="E418" s="5" t="s">
        <v>75</v>
      </c>
      <c r="F418" s="5" t="s">
        <v>78</v>
      </c>
      <c r="G418" s="5" t="n">
        <v>185</v>
      </c>
      <c r="H418" s="12" t="n">
        <v>6.1</v>
      </c>
      <c r="I418" s="12" t="n">
        <v>1128.5</v>
      </c>
      <c r="J418" s="12" t="n">
        <v>481</v>
      </c>
      <c r="K418" s="12" t="n">
        <f aca="false">I418-J418</f>
        <v>647.5</v>
      </c>
    </row>
    <row r="419" customFormat="false" ht="15" hidden="false" customHeight="false" outlineLevel="0" collapsed="false">
      <c r="A419" s="11" t="n">
        <v>46126</v>
      </c>
      <c r="B419" s="5" t="s">
        <v>503</v>
      </c>
      <c r="C419" s="5" t="s">
        <v>56</v>
      </c>
      <c r="D419" s="5" t="s">
        <v>57</v>
      </c>
      <c r="E419" s="5" t="s">
        <v>75</v>
      </c>
      <c r="F419" s="5" t="s">
        <v>83</v>
      </c>
      <c r="G419" s="5" t="n">
        <v>252</v>
      </c>
      <c r="H419" s="12" t="n">
        <v>4.2</v>
      </c>
      <c r="I419" s="12" t="n">
        <v>1058.4</v>
      </c>
      <c r="J419" s="12" t="n">
        <v>466.2</v>
      </c>
      <c r="K419" s="12" t="n">
        <f aca="false">I419-J419</f>
        <v>592.2</v>
      </c>
    </row>
    <row r="420" customFormat="false" ht="15" hidden="false" customHeight="false" outlineLevel="0" collapsed="false">
      <c r="A420" s="11" t="n">
        <v>46126</v>
      </c>
      <c r="B420" s="5" t="s">
        <v>504</v>
      </c>
      <c r="C420" s="5" t="s">
        <v>56</v>
      </c>
      <c r="D420" s="5" t="s">
        <v>57</v>
      </c>
      <c r="E420" s="5" t="s">
        <v>75</v>
      </c>
      <c r="F420" s="5" t="s">
        <v>78</v>
      </c>
      <c r="G420" s="5" t="n">
        <v>174</v>
      </c>
      <c r="H420" s="12" t="n">
        <v>6.1</v>
      </c>
      <c r="I420" s="12" t="n">
        <v>1061.4</v>
      </c>
      <c r="J420" s="12" t="n">
        <v>452.4</v>
      </c>
      <c r="K420" s="12" t="n">
        <f aca="false">I420-J420</f>
        <v>609</v>
      </c>
    </row>
    <row r="421" customFormat="false" ht="15" hidden="false" customHeight="false" outlineLevel="0" collapsed="false">
      <c r="A421" s="11" t="n">
        <v>46126</v>
      </c>
      <c r="B421" s="5" t="s">
        <v>505</v>
      </c>
      <c r="C421" s="5" t="s">
        <v>81</v>
      </c>
      <c r="D421" s="5" t="s">
        <v>64</v>
      </c>
      <c r="E421" s="5" t="s">
        <v>70</v>
      </c>
      <c r="F421" s="5" t="s">
        <v>92</v>
      </c>
      <c r="G421" s="5" t="n">
        <v>2693</v>
      </c>
      <c r="H421" s="12" t="n">
        <v>2.4</v>
      </c>
      <c r="I421" s="12" t="n">
        <v>6463.2</v>
      </c>
      <c r="J421" s="12" t="n">
        <v>2558.35</v>
      </c>
      <c r="K421" s="12" t="n">
        <f aca="false">I421-J421</f>
        <v>3904.85</v>
      </c>
    </row>
    <row r="422" customFormat="false" ht="15" hidden="false" customHeight="false" outlineLevel="0" collapsed="false">
      <c r="A422" s="11" t="n">
        <v>46126</v>
      </c>
      <c r="B422" s="5" t="s">
        <v>506</v>
      </c>
      <c r="C422" s="5" t="s">
        <v>63</v>
      </c>
      <c r="D422" s="5" t="s">
        <v>64</v>
      </c>
      <c r="E422" s="5" t="s">
        <v>70</v>
      </c>
      <c r="F422" s="5" t="s">
        <v>71</v>
      </c>
      <c r="G422" s="5" t="n">
        <v>2323</v>
      </c>
      <c r="H422" s="12" t="n">
        <v>2.95</v>
      </c>
      <c r="I422" s="12" t="n">
        <v>6852.85</v>
      </c>
      <c r="J422" s="12" t="n">
        <v>3019.9</v>
      </c>
      <c r="K422" s="12" t="n">
        <f aca="false">I422-J422</f>
        <v>3832.95</v>
      </c>
    </row>
    <row r="423" customFormat="false" ht="15" hidden="false" customHeight="false" outlineLevel="0" collapsed="false">
      <c r="A423" s="11" t="n">
        <v>46127</v>
      </c>
      <c r="B423" s="5" t="s">
        <v>507</v>
      </c>
      <c r="C423" s="5" t="s">
        <v>73</v>
      </c>
      <c r="D423" s="5" t="s">
        <v>64</v>
      </c>
      <c r="E423" s="5" t="s">
        <v>58</v>
      </c>
      <c r="F423" s="5" t="s">
        <v>61</v>
      </c>
      <c r="G423" s="5" t="n">
        <v>408</v>
      </c>
      <c r="H423" s="12" t="n">
        <v>23.52</v>
      </c>
      <c r="I423" s="12" t="n">
        <v>9596.16</v>
      </c>
      <c r="J423" s="12" t="n">
        <v>4814.4</v>
      </c>
      <c r="K423" s="12" t="n">
        <f aca="false">I423-J423</f>
        <v>4781.76</v>
      </c>
    </row>
    <row r="424" customFormat="false" ht="15" hidden="false" customHeight="false" outlineLevel="0" collapsed="false">
      <c r="A424" s="11" t="n">
        <v>46127</v>
      </c>
      <c r="B424" s="5" t="s">
        <v>508</v>
      </c>
      <c r="C424" s="5" t="s">
        <v>99</v>
      </c>
      <c r="D424" s="5" t="s">
        <v>69</v>
      </c>
      <c r="E424" s="5" t="s">
        <v>75</v>
      </c>
      <c r="F424" s="5" t="s">
        <v>83</v>
      </c>
      <c r="G424" s="5" t="n">
        <v>621</v>
      </c>
      <c r="H424" s="12" t="n">
        <v>4.03</v>
      </c>
      <c r="I424" s="12" t="n">
        <v>2502.63</v>
      </c>
      <c r="J424" s="12" t="n">
        <v>1148.85</v>
      </c>
      <c r="K424" s="12" t="n">
        <f aca="false">I424-J424</f>
        <v>1353.78</v>
      </c>
    </row>
    <row r="425" customFormat="false" ht="15" hidden="false" customHeight="false" outlineLevel="0" collapsed="false">
      <c r="A425" s="11" t="n">
        <v>46127</v>
      </c>
      <c r="B425" s="5" t="s">
        <v>509</v>
      </c>
      <c r="C425" s="5" t="s">
        <v>115</v>
      </c>
      <c r="D425" s="5" t="s">
        <v>69</v>
      </c>
      <c r="E425" s="5" t="s">
        <v>65</v>
      </c>
      <c r="F425" s="5" t="s">
        <v>103</v>
      </c>
      <c r="G425" s="5" t="n">
        <v>162</v>
      </c>
      <c r="H425" s="12" t="n">
        <v>15.2</v>
      </c>
      <c r="I425" s="12" t="n">
        <v>2462.4</v>
      </c>
      <c r="J425" s="12" t="n">
        <v>1101.6</v>
      </c>
      <c r="K425" s="12" t="n">
        <f aca="false">I425-J425</f>
        <v>1360.8</v>
      </c>
    </row>
    <row r="426" customFormat="false" ht="15" hidden="false" customHeight="false" outlineLevel="0" collapsed="false">
      <c r="A426" s="11" t="n">
        <v>46127</v>
      </c>
      <c r="B426" s="5" t="s">
        <v>510</v>
      </c>
      <c r="C426" s="5" t="s">
        <v>68</v>
      </c>
      <c r="D426" s="5" t="s">
        <v>69</v>
      </c>
      <c r="E426" s="5" t="s">
        <v>65</v>
      </c>
      <c r="F426" s="5" t="s">
        <v>66</v>
      </c>
      <c r="G426" s="5" t="n">
        <v>52</v>
      </c>
      <c r="H426" s="12" t="n">
        <v>24.9</v>
      </c>
      <c r="I426" s="12" t="n">
        <v>1294.8</v>
      </c>
      <c r="J426" s="12" t="n">
        <v>592.8</v>
      </c>
      <c r="K426" s="12" t="n">
        <f aca="false">I426-J426</f>
        <v>702</v>
      </c>
    </row>
    <row r="427" customFormat="false" ht="15" hidden="false" customHeight="false" outlineLevel="0" collapsed="false">
      <c r="A427" s="11" t="n">
        <v>46127</v>
      </c>
      <c r="B427" s="5" t="s">
        <v>511</v>
      </c>
      <c r="C427" s="5" t="s">
        <v>81</v>
      </c>
      <c r="D427" s="5" t="s">
        <v>64</v>
      </c>
      <c r="E427" s="5" t="s">
        <v>70</v>
      </c>
      <c r="F427" s="5" t="s">
        <v>71</v>
      </c>
      <c r="G427" s="5" t="n">
        <v>2191</v>
      </c>
      <c r="H427" s="12" t="n">
        <v>2.95</v>
      </c>
      <c r="I427" s="12" t="n">
        <v>6463.45</v>
      </c>
      <c r="J427" s="12" t="n">
        <v>2848.3</v>
      </c>
      <c r="K427" s="12" t="n">
        <f aca="false">I427-J427</f>
        <v>3615.15</v>
      </c>
    </row>
    <row r="428" customFormat="false" ht="15" hidden="false" customHeight="false" outlineLevel="0" collapsed="false">
      <c r="A428" s="11" t="n">
        <v>46128</v>
      </c>
      <c r="B428" s="5" t="s">
        <v>512</v>
      </c>
      <c r="C428" s="5" t="s">
        <v>68</v>
      </c>
      <c r="D428" s="5" t="s">
        <v>69</v>
      </c>
      <c r="E428" s="5" t="s">
        <v>58</v>
      </c>
      <c r="F428" s="5" t="s">
        <v>61</v>
      </c>
      <c r="G428" s="5" t="n">
        <v>253</v>
      </c>
      <c r="H428" s="12" t="n">
        <v>24.5</v>
      </c>
      <c r="I428" s="12" t="n">
        <v>6198.5</v>
      </c>
      <c r="J428" s="12" t="n">
        <v>2985.4</v>
      </c>
      <c r="K428" s="12" t="n">
        <f aca="false">I428-J428</f>
        <v>3213.1</v>
      </c>
    </row>
    <row r="429" customFormat="false" ht="15" hidden="false" customHeight="false" outlineLevel="0" collapsed="false">
      <c r="A429" s="11" t="n">
        <v>46128</v>
      </c>
      <c r="B429" s="5" t="s">
        <v>513</v>
      </c>
      <c r="C429" s="5" t="s">
        <v>81</v>
      </c>
      <c r="D429" s="5" t="s">
        <v>64</v>
      </c>
      <c r="E429" s="5" t="s">
        <v>75</v>
      </c>
      <c r="F429" s="5" t="s">
        <v>76</v>
      </c>
      <c r="G429" s="5" t="n">
        <v>519</v>
      </c>
      <c r="H429" s="12" t="n">
        <v>4.8</v>
      </c>
      <c r="I429" s="12" t="n">
        <v>2491.2</v>
      </c>
      <c r="J429" s="12" t="n">
        <v>1063.95</v>
      </c>
      <c r="K429" s="12" t="n">
        <f aca="false">I429-J429</f>
        <v>1427.25</v>
      </c>
    </row>
    <row r="430" customFormat="false" ht="15" hidden="false" customHeight="false" outlineLevel="0" collapsed="false">
      <c r="A430" s="11" t="n">
        <v>46128</v>
      </c>
      <c r="B430" s="5" t="s">
        <v>514</v>
      </c>
      <c r="C430" s="5" t="s">
        <v>99</v>
      </c>
      <c r="D430" s="5" t="s">
        <v>69</v>
      </c>
      <c r="E430" s="5" t="s">
        <v>65</v>
      </c>
      <c r="F430" s="5" t="s">
        <v>103</v>
      </c>
      <c r="G430" s="5" t="n">
        <v>384</v>
      </c>
      <c r="H430" s="12" t="n">
        <v>14.59</v>
      </c>
      <c r="I430" s="12" t="n">
        <v>5602.56</v>
      </c>
      <c r="J430" s="12" t="n">
        <v>2611.2</v>
      </c>
      <c r="K430" s="12" t="n">
        <f aca="false">I430-J430</f>
        <v>2991.36</v>
      </c>
    </row>
    <row r="431" customFormat="false" ht="15" hidden="false" customHeight="false" outlineLevel="0" collapsed="false">
      <c r="A431" s="11" t="n">
        <v>46128</v>
      </c>
      <c r="B431" s="5" t="s">
        <v>515</v>
      </c>
      <c r="C431" s="5" t="s">
        <v>87</v>
      </c>
      <c r="D431" s="5" t="s">
        <v>64</v>
      </c>
      <c r="E431" s="5" t="s">
        <v>65</v>
      </c>
      <c r="F431" s="5" t="s">
        <v>66</v>
      </c>
      <c r="G431" s="5" t="n">
        <v>128</v>
      </c>
      <c r="H431" s="12" t="n">
        <v>24.9</v>
      </c>
      <c r="I431" s="12" t="n">
        <v>3187.2</v>
      </c>
      <c r="J431" s="12" t="n">
        <v>1459.2</v>
      </c>
      <c r="K431" s="12" t="n">
        <f aca="false">I431-J431</f>
        <v>1728</v>
      </c>
    </row>
    <row r="432" customFormat="false" ht="15" hidden="false" customHeight="false" outlineLevel="0" collapsed="false">
      <c r="A432" s="11" t="n">
        <v>46128</v>
      </c>
      <c r="B432" s="5" t="s">
        <v>516</v>
      </c>
      <c r="C432" s="5" t="s">
        <v>56</v>
      </c>
      <c r="D432" s="5" t="s">
        <v>57</v>
      </c>
      <c r="E432" s="5" t="s">
        <v>65</v>
      </c>
      <c r="F432" s="5" t="s">
        <v>66</v>
      </c>
      <c r="G432" s="5" t="n">
        <v>132</v>
      </c>
      <c r="H432" s="12" t="n">
        <v>24.9</v>
      </c>
      <c r="I432" s="12" t="n">
        <v>3286.8</v>
      </c>
      <c r="J432" s="12" t="n">
        <v>1504.8</v>
      </c>
      <c r="K432" s="12" t="n">
        <f aca="false">I432-J432</f>
        <v>1782</v>
      </c>
    </row>
    <row r="433" customFormat="false" ht="15" hidden="false" customHeight="false" outlineLevel="0" collapsed="false">
      <c r="A433" s="11" t="n">
        <v>46128</v>
      </c>
      <c r="B433" s="5" t="s">
        <v>517</v>
      </c>
      <c r="C433" s="5" t="s">
        <v>56</v>
      </c>
      <c r="D433" s="5" t="s">
        <v>57</v>
      </c>
      <c r="E433" s="5" t="s">
        <v>70</v>
      </c>
      <c r="F433" s="5" t="s">
        <v>92</v>
      </c>
      <c r="G433" s="5" t="n">
        <v>1109</v>
      </c>
      <c r="H433" s="12" t="n">
        <v>2.4</v>
      </c>
      <c r="I433" s="12" t="n">
        <v>2661.6</v>
      </c>
      <c r="J433" s="12" t="n">
        <v>1053.55</v>
      </c>
      <c r="K433" s="12" t="n">
        <f aca="false">I433-J433</f>
        <v>1608.05</v>
      </c>
    </row>
    <row r="434" customFormat="false" ht="15" hidden="false" customHeight="false" outlineLevel="0" collapsed="false">
      <c r="A434" s="11" t="n">
        <v>46129</v>
      </c>
      <c r="B434" s="5" t="s">
        <v>518</v>
      </c>
      <c r="C434" s="5" t="s">
        <v>87</v>
      </c>
      <c r="D434" s="5" t="s">
        <v>64</v>
      </c>
      <c r="E434" s="5" t="s">
        <v>75</v>
      </c>
      <c r="F434" s="5" t="s">
        <v>83</v>
      </c>
      <c r="G434" s="5" t="n">
        <v>348</v>
      </c>
      <c r="H434" s="12" t="n">
        <v>4.2</v>
      </c>
      <c r="I434" s="12" t="n">
        <v>1461.6</v>
      </c>
      <c r="J434" s="12" t="n">
        <v>643.8</v>
      </c>
      <c r="K434" s="12" t="n">
        <f aca="false">I434-J434</f>
        <v>817.8</v>
      </c>
    </row>
    <row r="435" customFormat="false" ht="15" hidden="false" customHeight="false" outlineLevel="0" collapsed="false">
      <c r="A435" s="11" t="n">
        <v>46129</v>
      </c>
      <c r="B435" s="5" t="s">
        <v>519</v>
      </c>
      <c r="C435" s="5" t="s">
        <v>81</v>
      </c>
      <c r="D435" s="5" t="s">
        <v>64</v>
      </c>
      <c r="E435" s="5" t="s">
        <v>65</v>
      </c>
      <c r="F435" s="5" t="s">
        <v>103</v>
      </c>
      <c r="G435" s="5" t="n">
        <v>309</v>
      </c>
      <c r="H435" s="12" t="n">
        <v>15.2</v>
      </c>
      <c r="I435" s="12" t="n">
        <v>4696.8</v>
      </c>
      <c r="J435" s="12" t="n">
        <v>2101.2</v>
      </c>
      <c r="K435" s="12" t="n">
        <f aca="false">I435-J435</f>
        <v>2595.6</v>
      </c>
    </row>
    <row r="436" customFormat="false" ht="15" hidden="false" customHeight="false" outlineLevel="0" collapsed="false">
      <c r="A436" s="11" t="n">
        <v>46129</v>
      </c>
      <c r="B436" s="5" t="s">
        <v>520</v>
      </c>
      <c r="C436" s="5" t="s">
        <v>56</v>
      </c>
      <c r="D436" s="5" t="s">
        <v>57</v>
      </c>
      <c r="E436" s="5" t="s">
        <v>70</v>
      </c>
      <c r="F436" s="5" t="s">
        <v>92</v>
      </c>
      <c r="G436" s="5" t="n">
        <v>1109</v>
      </c>
      <c r="H436" s="12" t="n">
        <v>2.4</v>
      </c>
      <c r="I436" s="12" t="n">
        <v>2661.6</v>
      </c>
      <c r="J436" s="12" t="n">
        <v>1053.55</v>
      </c>
      <c r="K436" s="12" t="n">
        <f aca="false">I436-J436</f>
        <v>1608.05</v>
      </c>
    </row>
    <row r="437" customFormat="false" ht="15" hidden="false" customHeight="false" outlineLevel="0" collapsed="false">
      <c r="A437" s="11" t="n">
        <v>46129</v>
      </c>
      <c r="B437" s="5" t="s">
        <v>521</v>
      </c>
      <c r="C437" s="5" t="s">
        <v>56</v>
      </c>
      <c r="D437" s="5" t="s">
        <v>57</v>
      </c>
      <c r="E437" s="5" t="s">
        <v>70</v>
      </c>
      <c r="F437" s="5" t="s">
        <v>90</v>
      </c>
      <c r="G437" s="5" t="n">
        <v>986</v>
      </c>
      <c r="H437" s="12" t="n">
        <v>2.7</v>
      </c>
      <c r="I437" s="12" t="n">
        <v>2662.2</v>
      </c>
      <c r="J437" s="12" t="n">
        <v>1183.2</v>
      </c>
      <c r="K437" s="12" t="n">
        <f aca="false">I437-J437</f>
        <v>1479</v>
      </c>
    </row>
    <row r="438" customFormat="false" ht="15" hidden="false" customHeight="false" outlineLevel="0" collapsed="false">
      <c r="A438" s="11" t="n">
        <v>46129</v>
      </c>
      <c r="B438" s="5" t="s">
        <v>522</v>
      </c>
      <c r="C438" s="5" t="s">
        <v>56</v>
      </c>
      <c r="D438" s="5" t="s">
        <v>57</v>
      </c>
      <c r="E438" s="5" t="s">
        <v>70</v>
      </c>
      <c r="F438" s="5" t="s">
        <v>71</v>
      </c>
      <c r="G438" s="5" t="n">
        <v>902</v>
      </c>
      <c r="H438" s="12" t="n">
        <v>2.95</v>
      </c>
      <c r="I438" s="12" t="n">
        <v>2660.9</v>
      </c>
      <c r="J438" s="12" t="n">
        <v>1172.6</v>
      </c>
      <c r="K438" s="12" t="n">
        <f aca="false">I438-J438</f>
        <v>1488.3</v>
      </c>
    </row>
    <row r="439" customFormat="false" ht="15" hidden="false" customHeight="false" outlineLevel="0" collapsed="false">
      <c r="A439" s="11" t="n">
        <v>46130</v>
      </c>
      <c r="B439" s="5" t="s">
        <v>523</v>
      </c>
      <c r="C439" s="5" t="s">
        <v>56</v>
      </c>
      <c r="D439" s="5" t="s">
        <v>57</v>
      </c>
      <c r="E439" s="5" t="s">
        <v>58</v>
      </c>
      <c r="F439" s="5" t="s">
        <v>59</v>
      </c>
      <c r="G439" s="5" t="n">
        <v>2340</v>
      </c>
      <c r="H439" s="12" t="n">
        <v>3.9</v>
      </c>
      <c r="I439" s="12" t="n">
        <v>9126</v>
      </c>
      <c r="J439" s="12" t="n">
        <v>3978</v>
      </c>
      <c r="K439" s="12" t="n">
        <f aca="false">I439-J439</f>
        <v>5148</v>
      </c>
    </row>
    <row r="440" customFormat="false" ht="15" hidden="false" customHeight="false" outlineLevel="0" collapsed="false">
      <c r="A440" s="11" t="n">
        <v>46130</v>
      </c>
      <c r="B440" s="5" t="s">
        <v>524</v>
      </c>
      <c r="C440" s="5" t="s">
        <v>73</v>
      </c>
      <c r="D440" s="5" t="s">
        <v>64</v>
      </c>
      <c r="E440" s="5" t="s">
        <v>75</v>
      </c>
      <c r="F440" s="5" t="s">
        <v>78</v>
      </c>
      <c r="G440" s="5" t="n">
        <v>209</v>
      </c>
      <c r="H440" s="12" t="n">
        <v>5.86</v>
      </c>
      <c r="I440" s="12" t="n">
        <v>1224.74</v>
      </c>
      <c r="J440" s="12" t="n">
        <v>543.4</v>
      </c>
      <c r="K440" s="12" t="n">
        <f aca="false">I440-J440</f>
        <v>681.34</v>
      </c>
    </row>
    <row r="441" customFormat="false" ht="15" hidden="false" customHeight="false" outlineLevel="0" collapsed="false">
      <c r="A441" s="11" t="n">
        <v>46130</v>
      </c>
      <c r="B441" s="5" t="s">
        <v>525</v>
      </c>
      <c r="C441" s="5" t="s">
        <v>85</v>
      </c>
      <c r="D441" s="5" t="s">
        <v>69</v>
      </c>
      <c r="E441" s="5" t="s">
        <v>70</v>
      </c>
      <c r="F441" s="5" t="s">
        <v>71</v>
      </c>
      <c r="G441" s="5" t="n">
        <v>680</v>
      </c>
      <c r="H441" s="12" t="n">
        <v>2.95</v>
      </c>
      <c r="I441" s="12" t="n">
        <v>2006</v>
      </c>
      <c r="J441" s="12" t="n">
        <v>884</v>
      </c>
      <c r="K441" s="12" t="n">
        <f aca="false">I441-J441</f>
        <v>1122</v>
      </c>
    </row>
    <row r="442" customFormat="false" ht="15" hidden="false" customHeight="false" outlineLevel="0" collapsed="false">
      <c r="A442" s="11" t="n">
        <v>46131</v>
      </c>
      <c r="B442" s="5" t="s">
        <v>526</v>
      </c>
      <c r="C442" s="5" t="s">
        <v>63</v>
      </c>
      <c r="D442" s="5" t="s">
        <v>64</v>
      </c>
      <c r="E442" s="5" t="s">
        <v>75</v>
      </c>
      <c r="F442" s="5" t="s">
        <v>76</v>
      </c>
      <c r="G442" s="5" t="n">
        <v>713</v>
      </c>
      <c r="H442" s="12" t="n">
        <v>4.8</v>
      </c>
      <c r="I442" s="12" t="n">
        <v>3422.4</v>
      </c>
      <c r="J442" s="12" t="n">
        <v>1461.65</v>
      </c>
      <c r="K442" s="12" t="n">
        <f aca="false">I442-J442</f>
        <v>1960.75</v>
      </c>
    </row>
    <row r="443" customFormat="false" ht="15" hidden="false" customHeight="false" outlineLevel="0" collapsed="false">
      <c r="A443" s="11" t="n">
        <v>46131</v>
      </c>
      <c r="B443" s="5" t="s">
        <v>527</v>
      </c>
      <c r="C443" s="5" t="s">
        <v>115</v>
      </c>
      <c r="D443" s="5" t="s">
        <v>69</v>
      </c>
      <c r="E443" s="5" t="s">
        <v>75</v>
      </c>
      <c r="F443" s="5" t="s">
        <v>78</v>
      </c>
      <c r="G443" s="5" t="n">
        <v>302</v>
      </c>
      <c r="H443" s="12" t="n">
        <v>6.1</v>
      </c>
      <c r="I443" s="12" t="n">
        <v>1842.2</v>
      </c>
      <c r="J443" s="12" t="n">
        <v>785.2</v>
      </c>
      <c r="K443" s="12" t="n">
        <f aca="false">I443-J443</f>
        <v>1057</v>
      </c>
    </row>
    <row r="444" customFormat="false" ht="15" hidden="false" customHeight="false" outlineLevel="0" collapsed="false">
      <c r="A444" s="11" t="n">
        <v>46131</v>
      </c>
      <c r="B444" s="5" t="s">
        <v>528</v>
      </c>
      <c r="C444" s="5" t="s">
        <v>99</v>
      </c>
      <c r="D444" s="5" t="s">
        <v>69</v>
      </c>
      <c r="E444" s="5" t="s">
        <v>70</v>
      </c>
      <c r="F444" s="5" t="s">
        <v>90</v>
      </c>
      <c r="G444" s="5" t="n">
        <v>2276</v>
      </c>
      <c r="H444" s="12" t="n">
        <v>2.59</v>
      </c>
      <c r="I444" s="12" t="n">
        <v>5894.84</v>
      </c>
      <c r="J444" s="12" t="n">
        <v>2731.2</v>
      </c>
      <c r="K444" s="12" t="n">
        <f aca="false">I444-J444</f>
        <v>3163.64</v>
      </c>
    </row>
    <row r="445" customFormat="false" ht="15" hidden="false" customHeight="false" outlineLevel="0" collapsed="false">
      <c r="A445" s="11" t="n">
        <v>46131</v>
      </c>
      <c r="B445" s="5" t="s">
        <v>529</v>
      </c>
      <c r="C445" s="5" t="s">
        <v>73</v>
      </c>
      <c r="D445" s="5" t="s">
        <v>64</v>
      </c>
      <c r="E445" s="5" t="s">
        <v>70</v>
      </c>
      <c r="F445" s="5" t="s">
        <v>90</v>
      </c>
      <c r="G445" s="5" t="n">
        <v>1358</v>
      </c>
      <c r="H445" s="12" t="n">
        <v>2.59</v>
      </c>
      <c r="I445" s="12" t="n">
        <v>3517.22</v>
      </c>
      <c r="J445" s="12" t="n">
        <v>1629.6</v>
      </c>
      <c r="K445" s="12" t="n">
        <f aca="false">I445-J445</f>
        <v>1887.62</v>
      </c>
    </row>
    <row r="446" customFormat="false" ht="15" hidden="false" customHeight="false" outlineLevel="0" collapsed="false">
      <c r="A446" s="11" t="n">
        <v>46131</v>
      </c>
      <c r="B446" s="5" t="s">
        <v>530</v>
      </c>
      <c r="C446" s="5" t="s">
        <v>73</v>
      </c>
      <c r="D446" s="5" t="s">
        <v>64</v>
      </c>
      <c r="E446" s="5" t="s">
        <v>70</v>
      </c>
      <c r="F446" s="5" t="s">
        <v>92</v>
      </c>
      <c r="G446" s="5" t="n">
        <v>1529</v>
      </c>
      <c r="H446" s="12" t="n">
        <v>2.3</v>
      </c>
      <c r="I446" s="12" t="n">
        <v>3516.7</v>
      </c>
      <c r="J446" s="12" t="n">
        <v>1452.55</v>
      </c>
      <c r="K446" s="12" t="n">
        <f aca="false">I446-J446</f>
        <v>2064.15</v>
      </c>
    </row>
    <row r="447" customFormat="false" ht="15" hidden="false" customHeight="false" outlineLevel="0" collapsed="false">
      <c r="A447" s="11" t="n">
        <v>46132</v>
      </c>
      <c r="B447" s="5" t="s">
        <v>531</v>
      </c>
      <c r="C447" s="5" t="s">
        <v>94</v>
      </c>
      <c r="D447" s="5" t="s">
        <v>95</v>
      </c>
      <c r="E447" s="5" t="s">
        <v>65</v>
      </c>
      <c r="F447" s="5" t="s">
        <v>103</v>
      </c>
      <c r="G447" s="5" t="n">
        <v>398</v>
      </c>
      <c r="H447" s="12" t="n">
        <v>15.2</v>
      </c>
      <c r="I447" s="12" t="n">
        <v>6049.6</v>
      </c>
      <c r="J447" s="12" t="n">
        <v>2706.4</v>
      </c>
      <c r="K447" s="12" t="n">
        <f aca="false">I447-J447</f>
        <v>3343.2</v>
      </c>
    </row>
    <row r="448" customFormat="false" ht="15" hidden="false" customHeight="false" outlineLevel="0" collapsed="false">
      <c r="A448" s="11" t="n">
        <v>46132</v>
      </c>
      <c r="B448" s="5" t="s">
        <v>532</v>
      </c>
      <c r="C448" s="5" t="s">
        <v>87</v>
      </c>
      <c r="D448" s="5" t="s">
        <v>64</v>
      </c>
      <c r="E448" s="5" t="s">
        <v>65</v>
      </c>
      <c r="F448" s="5" t="s">
        <v>66</v>
      </c>
      <c r="G448" s="5" t="n">
        <v>128</v>
      </c>
      <c r="H448" s="12" t="n">
        <v>24.9</v>
      </c>
      <c r="I448" s="12" t="n">
        <v>3187.2</v>
      </c>
      <c r="J448" s="12" t="n">
        <v>1459.2</v>
      </c>
      <c r="K448" s="12" t="n">
        <f aca="false">I448-J448</f>
        <v>1728</v>
      </c>
    </row>
    <row r="449" customFormat="false" ht="15" hidden="false" customHeight="false" outlineLevel="0" collapsed="false">
      <c r="A449" s="11" t="n">
        <v>46132</v>
      </c>
      <c r="B449" s="5" t="s">
        <v>533</v>
      </c>
      <c r="C449" s="5" t="s">
        <v>63</v>
      </c>
      <c r="D449" s="5" t="s">
        <v>64</v>
      </c>
      <c r="E449" s="5" t="s">
        <v>70</v>
      </c>
      <c r="F449" s="5" t="s">
        <v>92</v>
      </c>
      <c r="G449" s="5" t="n">
        <v>2856</v>
      </c>
      <c r="H449" s="12" t="n">
        <v>2.4</v>
      </c>
      <c r="I449" s="12" t="n">
        <v>6854.4</v>
      </c>
      <c r="J449" s="12" t="n">
        <v>2713.2</v>
      </c>
      <c r="K449" s="12" t="n">
        <f aca="false">I449-J449</f>
        <v>4141.2</v>
      </c>
    </row>
    <row r="450" customFormat="false" ht="15" hidden="false" customHeight="false" outlineLevel="0" collapsed="false">
      <c r="A450" s="11" t="n">
        <v>46133</v>
      </c>
      <c r="B450" s="5" t="s">
        <v>534</v>
      </c>
      <c r="C450" s="5" t="s">
        <v>115</v>
      </c>
      <c r="D450" s="5" t="s">
        <v>69</v>
      </c>
      <c r="E450" s="5" t="s">
        <v>58</v>
      </c>
      <c r="F450" s="5" t="s">
        <v>96</v>
      </c>
      <c r="G450" s="5" t="n">
        <v>2628</v>
      </c>
      <c r="H450" s="12" t="n">
        <v>2.1</v>
      </c>
      <c r="I450" s="12" t="n">
        <v>5518.8</v>
      </c>
      <c r="J450" s="12" t="n">
        <v>2417.76</v>
      </c>
      <c r="K450" s="12" t="n">
        <f aca="false">I450-J450</f>
        <v>3101.04</v>
      </c>
    </row>
    <row r="451" customFormat="false" ht="15" hidden="false" customHeight="false" outlineLevel="0" collapsed="false">
      <c r="A451" s="11" t="n">
        <v>46133</v>
      </c>
      <c r="B451" s="5" t="s">
        <v>535</v>
      </c>
      <c r="C451" s="5" t="s">
        <v>68</v>
      </c>
      <c r="D451" s="5" t="s">
        <v>69</v>
      </c>
      <c r="E451" s="5" t="s">
        <v>58</v>
      </c>
      <c r="F451" s="5" t="s">
        <v>59</v>
      </c>
      <c r="G451" s="5" t="n">
        <v>1595</v>
      </c>
      <c r="H451" s="12" t="n">
        <v>3.9</v>
      </c>
      <c r="I451" s="12" t="n">
        <v>6220.5</v>
      </c>
      <c r="J451" s="12" t="n">
        <v>2711.5</v>
      </c>
      <c r="K451" s="12" t="n">
        <f aca="false">I451-J451</f>
        <v>3509</v>
      </c>
    </row>
    <row r="452" customFormat="false" ht="15" hidden="false" customHeight="false" outlineLevel="0" collapsed="false">
      <c r="A452" s="11" t="n">
        <v>46133</v>
      </c>
      <c r="B452" s="5" t="s">
        <v>536</v>
      </c>
      <c r="C452" s="5" t="s">
        <v>73</v>
      </c>
      <c r="D452" s="5" t="s">
        <v>64</v>
      </c>
      <c r="E452" s="5" t="s">
        <v>75</v>
      </c>
      <c r="F452" s="5" t="s">
        <v>83</v>
      </c>
      <c r="G452" s="5" t="n">
        <v>304</v>
      </c>
      <c r="H452" s="12" t="n">
        <v>4.03</v>
      </c>
      <c r="I452" s="12" t="n">
        <v>1225.12</v>
      </c>
      <c r="J452" s="12" t="n">
        <v>562.4</v>
      </c>
      <c r="K452" s="12" t="n">
        <f aca="false">I452-J452</f>
        <v>662.72</v>
      </c>
    </row>
    <row r="453" customFormat="false" ht="15" hidden="false" customHeight="false" outlineLevel="0" collapsed="false">
      <c r="A453" s="11" t="n">
        <v>46133</v>
      </c>
      <c r="B453" s="5" t="s">
        <v>537</v>
      </c>
      <c r="C453" s="5" t="s">
        <v>87</v>
      </c>
      <c r="D453" s="5" t="s">
        <v>64</v>
      </c>
      <c r="E453" s="5" t="s">
        <v>75</v>
      </c>
      <c r="F453" s="5" t="s">
        <v>76</v>
      </c>
      <c r="G453" s="5" t="n">
        <v>304</v>
      </c>
      <c r="H453" s="12" t="n">
        <v>4.8</v>
      </c>
      <c r="I453" s="12" t="n">
        <v>1459.2</v>
      </c>
      <c r="J453" s="12" t="n">
        <v>623.2</v>
      </c>
      <c r="K453" s="12" t="n">
        <f aca="false">I453-J453</f>
        <v>836</v>
      </c>
    </row>
    <row r="454" customFormat="false" ht="15" hidden="false" customHeight="false" outlineLevel="0" collapsed="false">
      <c r="A454" s="11" t="n">
        <v>46133</v>
      </c>
      <c r="B454" s="5" t="s">
        <v>538</v>
      </c>
      <c r="C454" s="5" t="s">
        <v>85</v>
      </c>
      <c r="D454" s="5" t="s">
        <v>69</v>
      </c>
      <c r="E454" s="5" t="s">
        <v>75</v>
      </c>
      <c r="F454" s="5" t="s">
        <v>83</v>
      </c>
      <c r="G454" s="5" t="n">
        <v>114</v>
      </c>
      <c r="H454" s="12" t="n">
        <v>4.2</v>
      </c>
      <c r="I454" s="12" t="n">
        <v>478.8</v>
      </c>
      <c r="J454" s="12" t="n">
        <v>210.9</v>
      </c>
      <c r="K454" s="12" t="n">
        <f aca="false">I454-J454</f>
        <v>267.9</v>
      </c>
    </row>
    <row r="455" customFormat="false" ht="15" hidden="false" customHeight="false" outlineLevel="0" collapsed="false">
      <c r="A455" s="11" t="n">
        <v>46133</v>
      </c>
      <c r="B455" s="5" t="s">
        <v>539</v>
      </c>
      <c r="C455" s="5" t="s">
        <v>99</v>
      </c>
      <c r="D455" s="5" t="s">
        <v>69</v>
      </c>
      <c r="E455" s="5" t="s">
        <v>65</v>
      </c>
      <c r="F455" s="5" t="s">
        <v>66</v>
      </c>
      <c r="G455" s="5" t="n">
        <v>235</v>
      </c>
      <c r="H455" s="12" t="n">
        <v>23.9</v>
      </c>
      <c r="I455" s="12" t="n">
        <v>5616.5</v>
      </c>
      <c r="J455" s="12" t="n">
        <v>2679</v>
      </c>
      <c r="K455" s="12" t="n">
        <f aca="false">I455-J455</f>
        <v>2937.5</v>
      </c>
    </row>
    <row r="456" customFormat="false" ht="15" hidden="false" customHeight="false" outlineLevel="0" collapsed="false">
      <c r="A456" s="11" t="n">
        <v>46133</v>
      </c>
      <c r="B456" s="5" t="s">
        <v>540</v>
      </c>
      <c r="C456" s="5" t="s">
        <v>73</v>
      </c>
      <c r="D456" s="5" t="s">
        <v>64</v>
      </c>
      <c r="E456" s="5" t="s">
        <v>65</v>
      </c>
      <c r="F456" s="5" t="s">
        <v>103</v>
      </c>
      <c r="G456" s="5" t="n">
        <v>476</v>
      </c>
      <c r="H456" s="12" t="n">
        <v>14.59</v>
      </c>
      <c r="I456" s="12" t="n">
        <v>6944.84</v>
      </c>
      <c r="J456" s="12" t="n">
        <v>3236.8</v>
      </c>
      <c r="K456" s="12" t="n">
        <f aca="false">I456-J456</f>
        <v>3708.04</v>
      </c>
    </row>
    <row r="457" customFormat="false" ht="15" hidden="false" customHeight="false" outlineLevel="0" collapsed="false">
      <c r="A457" s="11" t="n">
        <v>46133</v>
      </c>
      <c r="B457" s="5" t="s">
        <v>541</v>
      </c>
      <c r="C457" s="5" t="s">
        <v>68</v>
      </c>
      <c r="D457" s="5" t="s">
        <v>69</v>
      </c>
      <c r="E457" s="5" t="s">
        <v>65</v>
      </c>
      <c r="F457" s="5" t="s">
        <v>103</v>
      </c>
      <c r="G457" s="5" t="n">
        <v>85</v>
      </c>
      <c r="H457" s="12" t="n">
        <v>15.2</v>
      </c>
      <c r="I457" s="12" t="n">
        <v>1292</v>
      </c>
      <c r="J457" s="12" t="n">
        <v>578</v>
      </c>
      <c r="K457" s="12" t="n">
        <f aca="false">I457-J457</f>
        <v>714</v>
      </c>
    </row>
    <row r="458" customFormat="false" ht="15" hidden="false" customHeight="false" outlineLevel="0" collapsed="false">
      <c r="A458" s="11" t="n">
        <v>46133</v>
      </c>
      <c r="B458" s="5" t="s">
        <v>542</v>
      </c>
      <c r="C458" s="5" t="s">
        <v>85</v>
      </c>
      <c r="D458" s="5" t="s">
        <v>69</v>
      </c>
      <c r="E458" s="5" t="s">
        <v>65</v>
      </c>
      <c r="F458" s="5" t="s">
        <v>88</v>
      </c>
      <c r="G458" s="5" t="n">
        <v>89</v>
      </c>
      <c r="H458" s="12" t="n">
        <v>11.5</v>
      </c>
      <c r="I458" s="12" t="n">
        <v>1023.5</v>
      </c>
      <c r="J458" s="12" t="n">
        <v>453.9</v>
      </c>
      <c r="K458" s="12" t="n">
        <f aca="false">I458-J458</f>
        <v>569.6</v>
      </c>
    </row>
    <row r="459" customFormat="false" ht="15" hidden="false" customHeight="false" outlineLevel="0" collapsed="false">
      <c r="A459" s="11" t="n">
        <v>46133</v>
      </c>
      <c r="B459" s="5" t="s">
        <v>543</v>
      </c>
      <c r="C459" s="5" t="s">
        <v>63</v>
      </c>
      <c r="D459" s="5" t="s">
        <v>64</v>
      </c>
      <c r="E459" s="5" t="s">
        <v>70</v>
      </c>
      <c r="F459" s="5" t="s">
        <v>71</v>
      </c>
      <c r="G459" s="5" t="n">
        <v>2323</v>
      </c>
      <c r="H459" s="12" t="n">
        <v>2.95</v>
      </c>
      <c r="I459" s="12" t="n">
        <v>6852.85</v>
      </c>
      <c r="J459" s="12" t="n">
        <v>3019.9</v>
      </c>
      <c r="K459" s="12" t="n">
        <f aca="false">I459-J459</f>
        <v>3832.95</v>
      </c>
    </row>
    <row r="460" customFormat="false" ht="15" hidden="false" customHeight="false" outlineLevel="0" collapsed="false">
      <c r="A460" s="11" t="n">
        <v>46134</v>
      </c>
      <c r="B460" s="5" t="s">
        <v>544</v>
      </c>
      <c r="C460" s="5" t="s">
        <v>81</v>
      </c>
      <c r="D460" s="5" t="s">
        <v>64</v>
      </c>
      <c r="E460" s="5" t="s">
        <v>75</v>
      </c>
      <c r="F460" s="5" t="s">
        <v>83</v>
      </c>
      <c r="G460" s="5" t="n">
        <v>593</v>
      </c>
      <c r="H460" s="12" t="n">
        <v>4.2</v>
      </c>
      <c r="I460" s="12" t="n">
        <v>2490.6</v>
      </c>
      <c r="J460" s="12" t="n">
        <v>1097.05</v>
      </c>
      <c r="K460" s="12" t="n">
        <f aca="false">I460-J460</f>
        <v>1393.55</v>
      </c>
    </row>
    <row r="461" customFormat="false" ht="15" hidden="false" customHeight="false" outlineLevel="0" collapsed="false">
      <c r="A461" s="11" t="n">
        <v>46134</v>
      </c>
      <c r="B461" s="5" t="s">
        <v>545</v>
      </c>
      <c r="C461" s="5" t="s">
        <v>85</v>
      </c>
      <c r="D461" s="5" t="s">
        <v>69</v>
      </c>
      <c r="E461" s="5" t="s">
        <v>75</v>
      </c>
      <c r="F461" s="5" t="s">
        <v>78</v>
      </c>
      <c r="G461" s="5" t="n">
        <v>78</v>
      </c>
      <c r="H461" s="12" t="n">
        <v>6.1</v>
      </c>
      <c r="I461" s="12" t="n">
        <v>475.8</v>
      </c>
      <c r="J461" s="12" t="n">
        <v>202.8</v>
      </c>
      <c r="K461" s="12" t="n">
        <f aca="false">I461-J461</f>
        <v>273</v>
      </c>
    </row>
    <row r="462" customFormat="false" ht="15" hidden="false" customHeight="false" outlineLevel="0" collapsed="false">
      <c r="A462" s="11" t="n">
        <v>46134</v>
      </c>
      <c r="B462" s="5" t="s">
        <v>546</v>
      </c>
      <c r="C462" s="5" t="s">
        <v>63</v>
      </c>
      <c r="D462" s="5" t="s">
        <v>64</v>
      </c>
      <c r="E462" s="5" t="s">
        <v>65</v>
      </c>
      <c r="F462" s="5" t="s">
        <v>103</v>
      </c>
      <c r="G462" s="5" t="n">
        <v>620</v>
      </c>
      <c r="H462" s="12" t="n">
        <v>15.2</v>
      </c>
      <c r="I462" s="12" t="n">
        <v>9424</v>
      </c>
      <c r="J462" s="12" t="n">
        <v>4216</v>
      </c>
      <c r="K462" s="12" t="n">
        <f aca="false">I462-J462</f>
        <v>5208</v>
      </c>
    </row>
    <row r="463" customFormat="false" ht="15" hidden="false" customHeight="false" outlineLevel="0" collapsed="false">
      <c r="A463" s="11" t="n">
        <v>46135</v>
      </c>
      <c r="B463" s="5" t="s">
        <v>547</v>
      </c>
      <c r="C463" s="5" t="s">
        <v>85</v>
      </c>
      <c r="D463" s="5" t="s">
        <v>69</v>
      </c>
      <c r="E463" s="5" t="s">
        <v>75</v>
      </c>
      <c r="F463" s="5" t="s">
        <v>78</v>
      </c>
      <c r="G463" s="5" t="n">
        <v>78</v>
      </c>
      <c r="H463" s="12" t="n">
        <v>6.1</v>
      </c>
      <c r="I463" s="12" t="n">
        <v>475.8</v>
      </c>
      <c r="J463" s="12" t="n">
        <v>202.8</v>
      </c>
      <c r="K463" s="12" t="n">
        <f aca="false">I463-J463</f>
        <v>273</v>
      </c>
    </row>
    <row r="464" customFormat="false" ht="15" hidden="false" customHeight="false" outlineLevel="0" collapsed="false">
      <c r="A464" s="11" t="n">
        <v>46136</v>
      </c>
      <c r="B464" s="5" t="s">
        <v>548</v>
      </c>
      <c r="C464" s="5" t="s">
        <v>81</v>
      </c>
      <c r="D464" s="5" t="s">
        <v>64</v>
      </c>
      <c r="E464" s="5" t="s">
        <v>58</v>
      </c>
      <c r="F464" s="5" t="s">
        <v>59</v>
      </c>
      <c r="G464" s="5" t="n">
        <v>6142</v>
      </c>
      <c r="H464" s="12" t="n">
        <v>3.9</v>
      </c>
      <c r="I464" s="12" t="n">
        <v>23953.8</v>
      </c>
      <c r="J464" s="12" t="n">
        <v>10441.4</v>
      </c>
      <c r="K464" s="12" t="n">
        <f aca="false">I464-J464</f>
        <v>13512.4</v>
      </c>
    </row>
    <row r="465" customFormat="false" ht="15" hidden="false" customHeight="false" outlineLevel="0" collapsed="false">
      <c r="A465" s="11" t="n">
        <v>46136</v>
      </c>
      <c r="B465" s="5" t="s">
        <v>549</v>
      </c>
      <c r="C465" s="5" t="s">
        <v>87</v>
      </c>
      <c r="D465" s="5" t="s">
        <v>64</v>
      </c>
      <c r="E465" s="5" t="s">
        <v>58</v>
      </c>
      <c r="F465" s="5" t="s">
        <v>96</v>
      </c>
      <c r="G465" s="5" t="n">
        <v>7552</v>
      </c>
      <c r="H465" s="12" t="n">
        <v>2.1</v>
      </c>
      <c r="I465" s="12" t="n">
        <v>15859.2</v>
      </c>
      <c r="J465" s="12" t="n">
        <v>6947.84</v>
      </c>
      <c r="K465" s="12" t="n">
        <f aca="false">I465-J465</f>
        <v>8911.36</v>
      </c>
    </row>
    <row r="466" customFormat="false" ht="15" hidden="false" customHeight="false" outlineLevel="0" collapsed="false">
      <c r="A466" s="11" t="n">
        <v>46136</v>
      </c>
      <c r="B466" s="5" t="s">
        <v>550</v>
      </c>
      <c r="C466" s="5" t="s">
        <v>94</v>
      </c>
      <c r="D466" s="5" t="s">
        <v>95</v>
      </c>
      <c r="E466" s="5" t="s">
        <v>75</v>
      </c>
      <c r="F466" s="5" t="s">
        <v>83</v>
      </c>
      <c r="G466" s="5" t="n">
        <v>268</v>
      </c>
      <c r="H466" s="12" t="n">
        <v>4.2</v>
      </c>
      <c r="I466" s="12" t="n">
        <v>1125.6</v>
      </c>
      <c r="J466" s="12" t="n">
        <v>495.8</v>
      </c>
      <c r="K466" s="12" t="n">
        <f aca="false">I466-J466</f>
        <v>629.8</v>
      </c>
    </row>
    <row r="467" customFormat="false" ht="15" hidden="false" customHeight="false" outlineLevel="0" collapsed="false">
      <c r="A467" s="11" t="n">
        <v>46136</v>
      </c>
      <c r="B467" s="5" t="s">
        <v>551</v>
      </c>
      <c r="C467" s="5" t="s">
        <v>94</v>
      </c>
      <c r="D467" s="5" t="s">
        <v>95</v>
      </c>
      <c r="E467" s="5" t="s">
        <v>65</v>
      </c>
      <c r="F467" s="5" t="s">
        <v>66</v>
      </c>
      <c r="G467" s="5" t="n">
        <v>243</v>
      </c>
      <c r="H467" s="12" t="n">
        <v>24.9</v>
      </c>
      <c r="I467" s="12" t="n">
        <v>6050.7</v>
      </c>
      <c r="J467" s="12" t="n">
        <v>2770.2</v>
      </c>
      <c r="K467" s="12" t="n">
        <f aca="false">I467-J467</f>
        <v>3280.5</v>
      </c>
    </row>
    <row r="468" customFormat="false" ht="15" hidden="false" customHeight="false" outlineLevel="0" collapsed="false">
      <c r="A468" s="11" t="n">
        <v>46137</v>
      </c>
      <c r="B468" s="5" t="s">
        <v>552</v>
      </c>
      <c r="C468" s="5" t="s">
        <v>56</v>
      </c>
      <c r="D468" s="5" t="s">
        <v>57</v>
      </c>
      <c r="E468" s="5" t="s">
        <v>58</v>
      </c>
      <c r="F468" s="5" t="s">
        <v>59</v>
      </c>
      <c r="G468" s="5" t="n">
        <v>2340</v>
      </c>
      <c r="H468" s="12" t="n">
        <v>3.9</v>
      </c>
      <c r="I468" s="12" t="n">
        <v>9126</v>
      </c>
      <c r="J468" s="12" t="n">
        <v>3978</v>
      </c>
      <c r="K468" s="12" t="n">
        <f aca="false">I468-J468</f>
        <v>5148</v>
      </c>
    </row>
    <row r="469" customFormat="false" ht="15" hidden="false" customHeight="false" outlineLevel="0" collapsed="false">
      <c r="A469" s="11" t="n">
        <v>46137</v>
      </c>
      <c r="B469" s="5" t="s">
        <v>553</v>
      </c>
      <c r="C469" s="5" t="s">
        <v>73</v>
      </c>
      <c r="D469" s="5" t="s">
        <v>64</v>
      </c>
      <c r="E469" s="5" t="s">
        <v>75</v>
      </c>
      <c r="F469" s="5" t="s">
        <v>78</v>
      </c>
      <c r="G469" s="5" t="n">
        <v>209</v>
      </c>
      <c r="H469" s="12" t="n">
        <v>5.86</v>
      </c>
      <c r="I469" s="12" t="n">
        <v>1224.74</v>
      </c>
      <c r="J469" s="12" t="n">
        <v>543.4</v>
      </c>
      <c r="K469" s="12" t="n">
        <f aca="false">I469-J469</f>
        <v>681.34</v>
      </c>
    </row>
    <row r="470" customFormat="false" ht="15" hidden="false" customHeight="false" outlineLevel="0" collapsed="false">
      <c r="A470" s="11" t="n">
        <v>46137</v>
      </c>
      <c r="B470" s="5" t="s">
        <v>554</v>
      </c>
      <c r="C470" s="5" t="s">
        <v>68</v>
      </c>
      <c r="D470" s="5" t="s">
        <v>69</v>
      </c>
      <c r="E470" s="5" t="s">
        <v>75</v>
      </c>
      <c r="F470" s="5" t="s">
        <v>76</v>
      </c>
      <c r="G470" s="5" t="n">
        <v>292</v>
      </c>
      <c r="H470" s="12" t="n">
        <v>4.8</v>
      </c>
      <c r="I470" s="12" t="n">
        <v>1401.6</v>
      </c>
      <c r="J470" s="12" t="n">
        <v>598.6</v>
      </c>
      <c r="K470" s="12" t="n">
        <f aca="false">I470-J470</f>
        <v>803</v>
      </c>
    </row>
    <row r="471" customFormat="false" ht="15" hidden="false" customHeight="false" outlineLevel="0" collapsed="false">
      <c r="A471" s="11" t="n">
        <v>46137</v>
      </c>
      <c r="B471" s="5" t="s">
        <v>555</v>
      </c>
      <c r="C471" s="5" t="s">
        <v>99</v>
      </c>
      <c r="D471" s="5" t="s">
        <v>69</v>
      </c>
      <c r="E471" s="5" t="s">
        <v>70</v>
      </c>
      <c r="F471" s="5" t="s">
        <v>71</v>
      </c>
      <c r="G471" s="5" t="n">
        <v>2083</v>
      </c>
      <c r="H471" s="12" t="n">
        <v>2.83</v>
      </c>
      <c r="I471" s="12" t="n">
        <v>5894.89</v>
      </c>
      <c r="J471" s="12" t="n">
        <v>2707.9</v>
      </c>
      <c r="K471" s="12" t="n">
        <f aca="false">I471-J471</f>
        <v>3186.99</v>
      </c>
    </row>
    <row r="472" customFormat="false" ht="15" hidden="false" customHeight="false" outlineLevel="0" collapsed="false">
      <c r="A472" s="11" t="n">
        <v>46137</v>
      </c>
      <c r="B472" s="5" t="s">
        <v>556</v>
      </c>
      <c r="C472" s="5" t="s">
        <v>94</v>
      </c>
      <c r="D472" s="5" t="s">
        <v>95</v>
      </c>
      <c r="E472" s="5" t="s">
        <v>70</v>
      </c>
      <c r="F472" s="5" t="s">
        <v>71</v>
      </c>
      <c r="G472" s="5" t="n">
        <v>1375</v>
      </c>
      <c r="H472" s="12" t="n">
        <v>2.95</v>
      </c>
      <c r="I472" s="12" t="n">
        <v>4056.25</v>
      </c>
      <c r="J472" s="12" t="n">
        <v>1787.5</v>
      </c>
      <c r="K472" s="12" t="n">
        <f aca="false">I472-J472</f>
        <v>2268.75</v>
      </c>
    </row>
    <row r="473" customFormat="false" ht="15" hidden="false" customHeight="false" outlineLevel="0" collapsed="false">
      <c r="A473" s="11" t="n">
        <v>46137</v>
      </c>
      <c r="B473" s="5" t="s">
        <v>557</v>
      </c>
      <c r="C473" s="5" t="s">
        <v>94</v>
      </c>
      <c r="D473" s="5" t="s">
        <v>95</v>
      </c>
      <c r="E473" s="5" t="s">
        <v>70</v>
      </c>
      <c r="F473" s="5" t="s">
        <v>90</v>
      </c>
      <c r="G473" s="5" t="n">
        <v>1502</v>
      </c>
      <c r="H473" s="12" t="n">
        <v>2.7</v>
      </c>
      <c r="I473" s="12" t="n">
        <v>4055.4</v>
      </c>
      <c r="J473" s="12" t="n">
        <v>1802.4</v>
      </c>
      <c r="K473" s="12" t="n">
        <f aca="false">I473-J473</f>
        <v>2253</v>
      </c>
    </row>
    <row r="474" customFormat="false" ht="15" hidden="false" customHeight="false" outlineLevel="0" collapsed="false">
      <c r="A474" s="11" t="n">
        <v>46137</v>
      </c>
      <c r="B474" s="5" t="s">
        <v>558</v>
      </c>
      <c r="C474" s="5" t="s">
        <v>87</v>
      </c>
      <c r="D474" s="5" t="s">
        <v>64</v>
      </c>
      <c r="E474" s="5" t="s">
        <v>70</v>
      </c>
      <c r="F474" s="5" t="s">
        <v>92</v>
      </c>
      <c r="G474" s="5" t="n">
        <v>2624</v>
      </c>
      <c r="H474" s="12" t="n">
        <v>2.4</v>
      </c>
      <c r="I474" s="12" t="n">
        <v>6297.6</v>
      </c>
      <c r="J474" s="12" t="n">
        <v>2492.8</v>
      </c>
      <c r="K474" s="12" t="n">
        <f aca="false">I474-J474</f>
        <v>3804.8</v>
      </c>
    </row>
    <row r="475" customFormat="false" ht="15" hidden="false" customHeight="false" outlineLevel="0" collapsed="false">
      <c r="A475" s="11" t="n">
        <v>46139</v>
      </c>
      <c r="B475" s="5" t="s">
        <v>559</v>
      </c>
      <c r="C475" s="5" t="s">
        <v>81</v>
      </c>
      <c r="D475" s="5" t="s">
        <v>64</v>
      </c>
      <c r="E475" s="5" t="s">
        <v>75</v>
      </c>
      <c r="F475" s="5" t="s">
        <v>76</v>
      </c>
      <c r="G475" s="5" t="n">
        <v>519</v>
      </c>
      <c r="H475" s="12" t="n">
        <v>4.8</v>
      </c>
      <c r="I475" s="12" t="n">
        <v>2491.2</v>
      </c>
      <c r="J475" s="12" t="n">
        <v>1063.95</v>
      </c>
      <c r="K475" s="12" t="n">
        <f aca="false">I475-J475</f>
        <v>1427.25</v>
      </c>
    </row>
    <row r="476" customFormat="false" ht="15" hidden="false" customHeight="false" outlineLevel="0" collapsed="false">
      <c r="A476" s="11" t="n">
        <v>46139</v>
      </c>
      <c r="B476" s="5" t="s">
        <v>560</v>
      </c>
      <c r="C476" s="5" t="s">
        <v>115</v>
      </c>
      <c r="D476" s="5" t="s">
        <v>69</v>
      </c>
      <c r="E476" s="5" t="s">
        <v>65</v>
      </c>
      <c r="F476" s="5" t="s">
        <v>103</v>
      </c>
      <c r="G476" s="5" t="n">
        <v>162</v>
      </c>
      <c r="H476" s="12" t="n">
        <v>15.2</v>
      </c>
      <c r="I476" s="12" t="n">
        <v>2462.4</v>
      </c>
      <c r="J476" s="12" t="n">
        <v>1101.6</v>
      </c>
      <c r="K476" s="12" t="n">
        <f aca="false">I476-J476</f>
        <v>1360.8</v>
      </c>
    </row>
    <row r="477" customFormat="false" ht="15" hidden="false" customHeight="false" outlineLevel="0" collapsed="false">
      <c r="A477" s="11" t="n">
        <v>46139</v>
      </c>
      <c r="B477" s="5" t="s">
        <v>561</v>
      </c>
      <c r="C477" s="5" t="s">
        <v>85</v>
      </c>
      <c r="D477" s="5" t="s">
        <v>69</v>
      </c>
      <c r="E477" s="5" t="s">
        <v>65</v>
      </c>
      <c r="F477" s="5" t="s">
        <v>66</v>
      </c>
      <c r="G477" s="5" t="n">
        <v>41</v>
      </c>
      <c r="H477" s="12" t="n">
        <v>24.9</v>
      </c>
      <c r="I477" s="12" t="n">
        <v>1020.9</v>
      </c>
      <c r="J477" s="12" t="n">
        <v>467.4</v>
      </c>
      <c r="K477" s="12" t="n">
        <f aca="false">I477-J477</f>
        <v>553.5</v>
      </c>
    </row>
    <row r="478" customFormat="false" ht="15" hidden="false" customHeight="false" outlineLevel="0" collapsed="false">
      <c r="A478" s="11" t="n">
        <v>46140</v>
      </c>
      <c r="B478" s="5" t="s">
        <v>562</v>
      </c>
      <c r="C478" s="5" t="s">
        <v>115</v>
      </c>
      <c r="D478" s="5" t="s">
        <v>69</v>
      </c>
      <c r="E478" s="5" t="s">
        <v>58</v>
      </c>
      <c r="F478" s="5" t="s">
        <v>96</v>
      </c>
      <c r="G478" s="5" t="n">
        <v>2628</v>
      </c>
      <c r="H478" s="12" t="n">
        <v>2.1</v>
      </c>
      <c r="I478" s="12" t="n">
        <v>5518.8</v>
      </c>
      <c r="J478" s="12" t="n">
        <v>2417.76</v>
      </c>
      <c r="K478" s="12" t="n">
        <f aca="false">I478-J478</f>
        <v>3101.04</v>
      </c>
    </row>
    <row r="479" customFormat="false" ht="15" hidden="false" customHeight="false" outlineLevel="0" collapsed="false">
      <c r="A479" s="11" t="n">
        <v>46140</v>
      </c>
      <c r="B479" s="5" t="s">
        <v>563</v>
      </c>
      <c r="C479" s="5" t="s">
        <v>99</v>
      </c>
      <c r="D479" s="5" t="s">
        <v>69</v>
      </c>
      <c r="E479" s="5" t="s">
        <v>65</v>
      </c>
      <c r="F479" s="5" t="s">
        <v>66</v>
      </c>
      <c r="G479" s="5" t="n">
        <v>235</v>
      </c>
      <c r="H479" s="12" t="n">
        <v>23.9</v>
      </c>
      <c r="I479" s="12" t="n">
        <v>5616.5</v>
      </c>
      <c r="J479" s="12" t="n">
        <v>2679</v>
      </c>
      <c r="K479" s="12" t="n">
        <f aca="false">I479-J479</f>
        <v>2937.5</v>
      </c>
    </row>
    <row r="480" customFormat="false" ht="15" hidden="false" customHeight="false" outlineLevel="0" collapsed="false">
      <c r="A480" s="11" t="n">
        <v>46140</v>
      </c>
      <c r="B480" s="5" t="s">
        <v>564</v>
      </c>
      <c r="C480" s="5" t="s">
        <v>87</v>
      </c>
      <c r="D480" s="5" t="s">
        <v>64</v>
      </c>
      <c r="E480" s="5" t="s">
        <v>65</v>
      </c>
      <c r="F480" s="5" t="s">
        <v>88</v>
      </c>
      <c r="G480" s="5" t="n">
        <v>277</v>
      </c>
      <c r="H480" s="12" t="n">
        <v>11.5</v>
      </c>
      <c r="I480" s="12" t="n">
        <v>3185.5</v>
      </c>
      <c r="J480" s="12" t="n">
        <v>1412.7</v>
      </c>
      <c r="K480" s="12" t="n">
        <f aca="false">I480-J480</f>
        <v>1772.8</v>
      </c>
    </row>
    <row r="481" customFormat="false" ht="15" hidden="false" customHeight="false" outlineLevel="0" collapsed="false">
      <c r="A481" s="11" t="n">
        <v>46143</v>
      </c>
      <c r="B481" s="5" t="s">
        <v>565</v>
      </c>
      <c r="C481" s="5" t="s">
        <v>94</v>
      </c>
      <c r="D481" s="5" t="s">
        <v>95</v>
      </c>
      <c r="E481" s="5" t="s">
        <v>58</v>
      </c>
      <c r="F481" s="5" t="s">
        <v>59</v>
      </c>
      <c r="G481" s="5" t="n">
        <v>2378</v>
      </c>
      <c r="H481" s="12" t="n">
        <v>3.9</v>
      </c>
      <c r="I481" s="12" t="n">
        <v>9274.2</v>
      </c>
      <c r="J481" s="12" t="n">
        <v>4042.6</v>
      </c>
      <c r="K481" s="12" t="n">
        <f aca="false">I481-J481</f>
        <v>5231.6</v>
      </c>
    </row>
    <row r="482" customFormat="false" ht="15" hidden="false" customHeight="false" outlineLevel="0" collapsed="false">
      <c r="A482" s="11" t="n">
        <v>46143</v>
      </c>
      <c r="B482" s="5" t="s">
        <v>566</v>
      </c>
      <c r="C482" s="5" t="s">
        <v>99</v>
      </c>
      <c r="D482" s="5" t="s">
        <v>69</v>
      </c>
      <c r="E482" s="5" t="s">
        <v>75</v>
      </c>
      <c r="F482" s="5" t="s">
        <v>83</v>
      </c>
      <c r="G482" s="5" t="n">
        <v>476</v>
      </c>
      <c r="H482" s="12" t="n">
        <v>4.03</v>
      </c>
      <c r="I482" s="12" t="n">
        <v>1918.28</v>
      </c>
      <c r="J482" s="12" t="n">
        <v>880.6</v>
      </c>
      <c r="K482" s="12" t="n">
        <f aca="false">I482-J482</f>
        <v>1037.68</v>
      </c>
    </row>
    <row r="483" customFormat="false" ht="15" hidden="false" customHeight="false" outlineLevel="0" collapsed="false">
      <c r="A483" s="11" t="n">
        <v>46143</v>
      </c>
      <c r="B483" s="5" t="s">
        <v>567</v>
      </c>
      <c r="C483" s="5" t="s">
        <v>85</v>
      </c>
      <c r="D483" s="5" t="s">
        <v>69</v>
      </c>
      <c r="E483" s="5" t="s">
        <v>65</v>
      </c>
      <c r="F483" s="5" t="s">
        <v>66</v>
      </c>
      <c r="G483" s="5" t="n">
        <v>49</v>
      </c>
      <c r="H483" s="12" t="n">
        <v>24.9</v>
      </c>
      <c r="I483" s="12" t="n">
        <v>1220.1</v>
      </c>
      <c r="J483" s="12" t="n">
        <v>558.6</v>
      </c>
      <c r="K483" s="12" t="n">
        <f aca="false">I483-J483</f>
        <v>661.5</v>
      </c>
    </row>
    <row r="484" customFormat="false" ht="15" hidden="false" customHeight="false" outlineLevel="0" collapsed="false">
      <c r="A484" s="11" t="n">
        <v>46144</v>
      </c>
      <c r="B484" s="5" t="s">
        <v>568</v>
      </c>
      <c r="C484" s="5" t="s">
        <v>81</v>
      </c>
      <c r="D484" s="5" t="s">
        <v>64</v>
      </c>
      <c r="E484" s="5" t="s">
        <v>58</v>
      </c>
      <c r="F484" s="5" t="s">
        <v>117</v>
      </c>
      <c r="G484" s="5" t="n">
        <v>7503</v>
      </c>
      <c r="H484" s="12" t="n">
        <v>3.4</v>
      </c>
      <c r="I484" s="12" t="n">
        <v>25510.2</v>
      </c>
      <c r="J484" s="12" t="n">
        <v>10879.35</v>
      </c>
      <c r="K484" s="12" t="n">
        <f aca="false">I484-J484</f>
        <v>14630.85</v>
      </c>
    </row>
    <row r="485" customFormat="false" ht="15" hidden="false" customHeight="false" outlineLevel="0" collapsed="false">
      <c r="A485" s="11" t="n">
        <v>46144</v>
      </c>
      <c r="B485" s="5" t="s">
        <v>569</v>
      </c>
      <c r="C485" s="5" t="s">
        <v>94</v>
      </c>
      <c r="D485" s="5" t="s">
        <v>95</v>
      </c>
      <c r="E485" s="5" t="s">
        <v>75</v>
      </c>
      <c r="F485" s="5" t="s">
        <v>78</v>
      </c>
      <c r="G485" s="5" t="n">
        <v>243</v>
      </c>
      <c r="H485" s="12" t="n">
        <v>6.1</v>
      </c>
      <c r="I485" s="12" t="n">
        <v>1482.3</v>
      </c>
      <c r="J485" s="12" t="n">
        <v>631.8</v>
      </c>
      <c r="K485" s="12" t="n">
        <f aca="false">I485-J485</f>
        <v>850.5</v>
      </c>
    </row>
    <row r="486" customFormat="false" ht="15" hidden="false" customHeight="false" outlineLevel="0" collapsed="false">
      <c r="A486" s="11" t="n">
        <v>46144</v>
      </c>
      <c r="B486" s="5" t="s">
        <v>570</v>
      </c>
      <c r="C486" s="5" t="s">
        <v>115</v>
      </c>
      <c r="D486" s="5" t="s">
        <v>69</v>
      </c>
      <c r="E486" s="5" t="s">
        <v>75</v>
      </c>
      <c r="F486" s="5" t="s">
        <v>76</v>
      </c>
      <c r="G486" s="5" t="n">
        <v>234</v>
      </c>
      <c r="H486" s="12" t="n">
        <v>4.8</v>
      </c>
      <c r="I486" s="12" t="n">
        <v>1123.2</v>
      </c>
      <c r="J486" s="12" t="n">
        <v>479.7</v>
      </c>
      <c r="K486" s="12" t="n">
        <f aca="false">I486-J486</f>
        <v>643.5</v>
      </c>
    </row>
    <row r="487" customFormat="false" ht="15" hidden="false" customHeight="false" outlineLevel="0" collapsed="false">
      <c r="A487" s="11" t="n">
        <v>46144</v>
      </c>
      <c r="B487" s="5" t="s">
        <v>571</v>
      </c>
      <c r="C487" s="5" t="s">
        <v>99</v>
      </c>
      <c r="D487" s="5" t="s">
        <v>69</v>
      </c>
      <c r="E487" s="5" t="s">
        <v>65</v>
      </c>
      <c r="F487" s="5" t="s">
        <v>66</v>
      </c>
      <c r="G487" s="5" t="n">
        <v>210</v>
      </c>
      <c r="H487" s="12" t="n">
        <v>23.9</v>
      </c>
      <c r="I487" s="12" t="n">
        <v>5019</v>
      </c>
      <c r="J487" s="12" t="n">
        <v>2394</v>
      </c>
      <c r="K487" s="12" t="n">
        <f aca="false">I487-J487</f>
        <v>2625</v>
      </c>
    </row>
    <row r="488" customFormat="false" ht="15" hidden="false" customHeight="false" outlineLevel="0" collapsed="false">
      <c r="A488" s="11" t="n">
        <v>46144</v>
      </c>
      <c r="B488" s="5" t="s">
        <v>572</v>
      </c>
      <c r="C488" s="5" t="s">
        <v>68</v>
      </c>
      <c r="D488" s="5" t="s">
        <v>69</v>
      </c>
      <c r="E488" s="5" t="s">
        <v>65</v>
      </c>
      <c r="F488" s="5" t="s">
        <v>66</v>
      </c>
      <c r="G488" s="5" t="n">
        <v>139</v>
      </c>
      <c r="H488" s="12" t="n">
        <v>24.9</v>
      </c>
      <c r="I488" s="12" t="n">
        <v>3461.1</v>
      </c>
      <c r="J488" s="12" t="n">
        <v>1584.6</v>
      </c>
      <c r="K488" s="12" t="n">
        <f aca="false">I488-J488</f>
        <v>1876.5</v>
      </c>
    </row>
    <row r="489" customFormat="false" ht="15" hidden="false" customHeight="false" outlineLevel="0" collapsed="false">
      <c r="A489" s="11" t="n">
        <v>46145</v>
      </c>
      <c r="B489" s="5" t="s">
        <v>573</v>
      </c>
      <c r="C489" s="5" t="s">
        <v>85</v>
      </c>
      <c r="D489" s="5" t="s">
        <v>69</v>
      </c>
      <c r="E489" s="5" t="s">
        <v>58</v>
      </c>
      <c r="F489" s="5" t="s">
        <v>96</v>
      </c>
      <c r="G489" s="5" t="n">
        <v>1705</v>
      </c>
      <c r="H489" s="12" t="n">
        <v>2.1</v>
      </c>
      <c r="I489" s="12" t="n">
        <v>3580.5</v>
      </c>
      <c r="J489" s="12" t="n">
        <v>1568.6</v>
      </c>
      <c r="K489" s="12" t="n">
        <f aca="false">I489-J489</f>
        <v>2011.9</v>
      </c>
    </row>
    <row r="490" customFormat="false" ht="15" hidden="false" customHeight="false" outlineLevel="0" collapsed="false">
      <c r="A490" s="11" t="n">
        <v>46145</v>
      </c>
      <c r="B490" s="5" t="s">
        <v>574</v>
      </c>
      <c r="C490" s="5" t="s">
        <v>56</v>
      </c>
      <c r="D490" s="5" t="s">
        <v>57</v>
      </c>
      <c r="E490" s="5" t="s">
        <v>58</v>
      </c>
      <c r="F490" s="5" t="s">
        <v>59</v>
      </c>
      <c r="G490" s="5" t="n">
        <v>1909</v>
      </c>
      <c r="H490" s="12" t="n">
        <v>3.9</v>
      </c>
      <c r="I490" s="12" t="n">
        <v>7445.1</v>
      </c>
      <c r="J490" s="12" t="n">
        <v>3245.3</v>
      </c>
      <c r="K490" s="12" t="n">
        <f aca="false">I490-J490</f>
        <v>4199.8</v>
      </c>
    </row>
    <row r="491" customFormat="false" ht="15" hidden="false" customHeight="false" outlineLevel="0" collapsed="false">
      <c r="A491" s="11" t="n">
        <v>46145</v>
      </c>
      <c r="B491" s="5" t="s">
        <v>575</v>
      </c>
      <c r="C491" s="5" t="s">
        <v>63</v>
      </c>
      <c r="D491" s="5" t="s">
        <v>64</v>
      </c>
      <c r="E491" s="5" t="s">
        <v>75</v>
      </c>
      <c r="F491" s="5" t="s">
        <v>78</v>
      </c>
      <c r="G491" s="5" t="n">
        <v>238</v>
      </c>
      <c r="H491" s="12" t="n">
        <v>6.1</v>
      </c>
      <c r="I491" s="12" t="n">
        <v>1451.8</v>
      </c>
      <c r="J491" s="12" t="n">
        <v>618.8</v>
      </c>
      <c r="K491" s="12" t="n">
        <f aca="false">I491-J491</f>
        <v>833</v>
      </c>
    </row>
    <row r="492" customFormat="false" ht="15" hidden="false" customHeight="false" outlineLevel="0" collapsed="false">
      <c r="A492" s="11" t="n">
        <v>46145</v>
      </c>
      <c r="B492" s="5" t="s">
        <v>576</v>
      </c>
      <c r="C492" s="5" t="s">
        <v>63</v>
      </c>
      <c r="D492" s="5" t="s">
        <v>64</v>
      </c>
      <c r="E492" s="5" t="s">
        <v>65</v>
      </c>
      <c r="F492" s="5" t="s">
        <v>88</v>
      </c>
      <c r="G492" s="5" t="n">
        <v>463</v>
      </c>
      <c r="H492" s="12" t="n">
        <v>11.5</v>
      </c>
      <c r="I492" s="12" t="n">
        <v>5324.5</v>
      </c>
      <c r="J492" s="12" t="n">
        <v>2361.3</v>
      </c>
      <c r="K492" s="12" t="n">
        <f aca="false">I492-J492</f>
        <v>2963.2</v>
      </c>
    </row>
    <row r="493" customFormat="false" ht="15" hidden="false" customHeight="false" outlineLevel="0" collapsed="false">
      <c r="A493" s="11" t="n">
        <v>46145</v>
      </c>
      <c r="B493" s="5" t="s">
        <v>577</v>
      </c>
      <c r="C493" s="5" t="s">
        <v>94</v>
      </c>
      <c r="D493" s="5" t="s">
        <v>95</v>
      </c>
      <c r="E493" s="5" t="s">
        <v>65</v>
      </c>
      <c r="F493" s="5" t="s">
        <v>66</v>
      </c>
      <c r="G493" s="5" t="n">
        <v>106</v>
      </c>
      <c r="H493" s="12" t="n">
        <v>24.9</v>
      </c>
      <c r="I493" s="12" t="n">
        <v>2639.4</v>
      </c>
      <c r="J493" s="12" t="n">
        <v>1208.4</v>
      </c>
      <c r="K493" s="12" t="n">
        <f aca="false">I493-J493</f>
        <v>1431</v>
      </c>
    </row>
    <row r="494" customFormat="false" ht="15" hidden="false" customHeight="false" outlineLevel="0" collapsed="false">
      <c r="A494" s="11" t="n">
        <v>46145</v>
      </c>
      <c r="B494" s="5" t="s">
        <v>578</v>
      </c>
      <c r="C494" s="5" t="s">
        <v>115</v>
      </c>
      <c r="D494" s="5" t="s">
        <v>69</v>
      </c>
      <c r="E494" s="5" t="s">
        <v>70</v>
      </c>
      <c r="F494" s="5" t="s">
        <v>92</v>
      </c>
      <c r="G494" s="5" t="n">
        <v>1041</v>
      </c>
      <c r="H494" s="12" t="n">
        <v>2.4</v>
      </c>
      <c r="I494" s="12" t="n">
        <v>2498.4</v>
      </c>
      <c r="J494" s="12" t="n">
        <v>988.95</v>
      </c>
      <c r="K494" s="12" t="n">
        <f aca="false">I494-J494</f>
        <v>1509.45</v>
      </c>
    </row>
    <row r="495" customFormat="false" ht="15" hidden="false" customHeight="false" outlineLevel="0" collapsed="false">
      <c r="A495" s="11" t="n">
        <v>46147</v>
      </c>
      <c r="B495" s="5" t="s">
        <v>579</v>
      </c>
      <c r="C495" s="5" t="s">
        <v>68</v>
      </c>
      <c r="D495" s="5" t="s">
        <v>69</v>
      </c>
      <c r="E495" s="5" t="s">
        <v>58</v>
      </c>
      <c r="F495" s="5" t="s">
        <v>96</v>
      </c>
      <c r="G495" s="5" t="n">
        <v>2871</v>
      </c>
      <c r="H495" s="12" t="n">
        <v>2.1</v>
      </c>
      <c r="I495" s="12" t="n">
        <v>6029.1</v>
      </c>
      <c r="J495" s="12" t="n">
        <v>2641.32</v>
      </c>
      <c r="K495" s="12" t="n">
        <f aca="false">I495-J495</f>
        <v>3387.78</v>
      </c>
    </row>
    <row r="496" customFormat="false" ht="15" hidden="false" customHeight="false" outlineLevel="0" collapsed="false">
      <c r="A496" s="11" t="n">
        <v>46147</v>
      </c>
      <c r="B496" s="5" t="s">
        <v>580</v>
      </c>
      <c r="C496" s="5" t="s">
        <v>94</v>
      </c>
      <c r="D496" s="5" t="s">
        <v>95</v>
      </c>
      <c r="E496" s="5" t="s">
        <v>75</v>
      </c>
      <c r="F496" s="5" t="s">
        <v>83</v>
      </c>
      <c r="G496" s="5" t="n">
        <v>353</v>
      </c>
      <c r="H496" s="12" t="n">
        <v>4.2</v>
      </c>
      <c r="I496" s="12" t="n">
        <v>1482.6</v>
      </c>
      <c r="J496" s="12" t="n">
        <v>653.05</v>
      </c>
      <c r="K496" s="12" t="n">
        <f aca="false">I496-J496</f>
        <v>829.55</v>
      </c>
    </row>
    <row r="497" customFormat="false" ht="15" hidden="false" customHeight="false" outlineLevel="0" collapsed="false">
      <c r="A497" s="11" t="n">
        <v>46147</v>
      </c>
      <c r="B497" s="5" t="s">
        <v>581</v>
      </c>
      <c r="C497" s="5" t="s">
        <v>85</v>
      </c>
      <c r="D497" s="5" t="s">
        <v>69</v>
      </c>
      <c r="E497" s="5" t="s">
        <v>70</v>
      </c>
      <c r="F497" s="5" t="s">
        <v>71</v>
      </c>
      <c r="G497" s="5" t="n">
        <v>716</v>
      </c>
      <c r="H497" s="12" t="n">
        <v>2.95</v>
      </c>
      <c r="I497" s="12" t="n">
        <v>2112.2</v>
      </c>
      <c r="J497" s="12" t="n">
        <v>930.8</v>
      </c>
      <c r="K497" s="12" t="n">
        <f aca="false">I497-J497</f>
        <v>1181.4</v>
      </c>
    </row>
    <row r="498" customFormat="false" ht="15" hidden="false" customHeight="false" outlineLevel="0" collapsed="false">
      <c r="A498" s="11" t="n">
        <v>46148</v>
      </c>
      <c r="B498" s="5" t="s">
        <v>582</v>
      </c>
      <c r="C498" s="5" t="s">
        <v>81</v>
      </c>
      <c r="D498" s="5" t="s">
        <v>64</v>
      </c>
      <c r="E498" s="5" t="s">
        <v>58</v>
      </c>
      <c r="F498" s="5" t="s">
        <v>96</v>
      </c>
      <c r="G498" s="5" t="n">
        <v>12148</v>
      </c>
      <c r="H498" s="12" t="n">
        <v>2.1</v>
      </c>
      <c r="I498" s="12" t="n">
        <v>25510.8</v>
      </c>
      <c r="J498" s="12" t="n">
        <v>11176.16</v>
      </c>
      <c r="K498" s="12" t="n">
        <f aca="false">I498-J498</f>
        <v>14334.64</v>
      </c>
    </row>
    <row r="499" customFormat="false" ht="15" hidden="false" customHeight="false" outlineLevel="0" collapsed="false">
      <c r="A499" s="11" t="n">
        <v>46148</v>
      </c>
      <c r="B499" s="5" t="s">
        <v>583</v>
      </c>
      <c r="C499" s="5" t="s">
        <v>63</v>
      </c>
      <c r="D499" s="5" t="s">
        <v>64</v>
      </c>
      <c r="E499" s="5" t="s">
        <v>75</v>
      </c>
      <c r="F499" s="5" t="s">
        <v>83</v>
      </c>
      <c r="G499" s="5" t="n">
        <v>346</v>
      </c>
      <c r="H499" s="12" t="n">
        <v>4.2</v>
      </c>
      <c r="I499" s="12" t="n">
        <v>1453.2</v>
      </c>
      <c r="J499" s="12" t="n">
        <v>640.1</v>
      </c>
      <c r="K499" s="12" t="n">
        <f aca="false">I499-J499</f>
        <v>813.1</v>
      </c>
    </row>
    <row r="500" customFormat="false" ht="15" hidden="false" customHeight="false" outlineLevel="0" collapsed="false">
      <c r="A500" s="11" t="n">
        <v>46148</v>
      </c>
      <c r="B500" s="5" t="s">
        <v>584</v>
      </c>
      <c r="C500" s="5" t="s">
        <v>87</v>
      </c>
      <c r="D500" s="5" t="s">
        <v>64</v>
      </c>
      <c r="E500" s="5" t="s">
        <v>75</v>
      </c>
      <c r="F500" s="5" t="s">
        <v>76</v>
      </c>
      <c r="G500" s="5" t="n">
        <v>179</v>
      </c>
      <c r="H500" s="12" t="n">
        <v>4.8</v>
      </c>
      <c r="I500" s="12" t="n">
        <v>859.2</v>
      </c>
      <c r="J500" s="12" t="n">
        <v>366.95</v>
      </c>
      <c r="K500" s="12" t="n">
        <f aca="false">I500-J500</f>
        <v>492.25</v>
      </c>
    </row>
    <row r="501" customFormat="false" ht="15" hidden="false" customHeight="false" outlineLevel="0" collapsed="false">
      <c r="A501" s="11" t="n">
        <v>46148</v>
      </c>
      <c r="B501" s="5" t="s">
        <v>585</v>
      </c>
      <c r="C501" s="5" t="s">
        <v>85</v>
      </c>
      <c r="D501" s="5" t="s">
        <v>69</v>
      </c>
      <c r="E501" s="5" t="s">
        <v>75</v>
      </c>
      <c r="F501" s="5" t="s">
        <v>78</v>
      </c>
      <c r="G501" s="5" t="n">
        <v>55</v>
      </c>
      <c r="H501" s="12" t="n">
        <v>6.1</v>
      </c>
      <c r="I501" s="12" t="n">
        <v>335.5</v>
      </c>
      <c r="J501" s="12" t="n">
        <v>143</v>
      </c>
      <c r="K501" s="12" t="n">
        <f aca="false">I501-J501</f>
        <v>192.5</v>
      </c>
    </row>
    <row r="502" customFormat="false" ht="15" hidden="false" customHeight="false" outlineLevel="0" collapsed="false">
      <c r="A502" s="11" t="n">
        <v>46148</v>
      </c>
      <c r="B502" s="5" t="s">
        <v>586</v>
      </c>
      <c r="C502" s="5" t="s">
        <v>94</v>
      </c>
      <c r="D502" s="5" t="s">
        <v>95</v>
      </c>
      <c r="E502" s="5" t="s">
        <v>65</v>
      </c>
      <c r="F502" s="5" t="s">
        <v>103</v>
      </c>
      <c r="G502" s="5" t="n">
        <v>174</v>
      </c>
      <c r="H502" s="12" t="n">
        <v>15.2</v>
      </c>
      <c r="I502" s="12" t="n">
        <v>2644.8</v>
      </c>
      <c r="J502" s="12" t="n">
        <v>1183.2</v>
      </c>
      <c r="K502" s="12" t="n">
        <f aca="false">I502-J502</f>
        <v>1461.6</v>
      </c>
    </row>
    <row r="503" customFormat="false" ht="15" hidden="false" customHeight="false" outlineLevel="0" collapsed="false">
      <c r="A503" s="11" t="n">
        <v>46149</v>
      </c>
      <c r="B503" s="5" t="s">
        <v>587</v>
      </c>
      <c r="C503" s="5" t="s">
        <v>99</v>
      </c>
      <c r="D503" s="5" t="s">
        <v>69</v>
      </c>
      <c r="E503" s="5" t="s">
        <v>58</v>
      </c>
      <c r="F503" s="5" t="s">
        <v>61</v>
      </c>
      <c r="G503" s="5" t="n">
        <v>390</v>
      </c>
      <c r="H503" s="12" t="n">
        <v>23.52</v>
      </c>
      <c r="I503" s="12" t="n">
        <v>9172.8</v>
      </c>
      <c r="J503" s="12" t="n">
        <v>4602</v>
      </c>
      <c r="K503" s="12" t="n">
        <f aca="false">I503-J503</f>
        <v>4570.8</v>
      </c>
    </row>
    <row r="504" customFormat="false" ht="15" hidden="false" customHeight="false" outlineLevel="0" collapsed="false">
      <c r="A504" s="11" t="n">
        <v>46149</v>
      </c>
      <c r="B504" s="5" t="s">
        <v>588</v>
      </c>
      <c r="C504" s="5" t="s">
        <v>73</v>
      </c>
      <c r="D504" s="5" t="s">
        <v>64</v>
      </c>
      <c r="E504" s="5" t="s">
        <v>75</v>
      </c>
      <c r="F504" s="5" t="s">
        <v>83</v>
      </c>
      <c r="G504" s="5" t="n">
        <v>212</v>
      </c>
      <c r="H504" s="12" t="n">
        <v>4.03</v>
      </c>
      <c r="I504" s="12" t="n">
        <v>854.36</v>
      </c>
      <c r="J504" s="12" t="n">
        <v>392.2</v>
      </c>
      <c r="K504" s="12" t="n">
        <f aca="false">I504-J504</f>
        <v>462.16</v>
      </c>
    </row>
    <row r="505" customFormat="false" ht="15" hidden="false" customHeight="false" outlineLevel="0" collapsed="false">
      <c r="A505" s="11" t="n">
        <v>46149</v>
      </c>
      <c r="B505" s="5" t="s">
        <v>589</v>
      </c>
      <c r="C505" s="5" t="s">
        <v>87</v>
      </c>
      <c r="D505" s="5" t="s">
        <v>64</v>
      </c>
      <c r="E505" s="5" t="s">
        <v>75</v>
      </c>
      <c r="F505" s="5" t="s">
        <v>78</v>
      </c>
      <c r="G505" s="5" t="n">
        <v>141</v>
      </c>
      <c r="H505" s="12" t="n">
        <v>6.1</v>
      </c>
      <c r="I505" s="12" t="n">
        <v>860.1</v>
      </c>
      <c r="J505" s="12" t="n">
        <v>366.6</v>
      </c>
      <c r="K505" s="12" t="n">
        <f aca="false">I505-J505</f>
        <v>493.5</v>
      </c>
    </row>
    <row r="506" customFormat="false" ht="15" hidden="false" customHeight="false" outlineLevel="0" collapsed="false">
      <c r="A506" s="11" t="n">
        <v>46149</v>
      </c>
      <c r="B506" s="5" t="s">
        <v>590</v>
      </c>
      <c r="C506" s="5" t="s">
        <v>115</v>
      </c>
      <c r="D506" s="5" t="s">
        <v>69</v>
      </c>
      <c r="E506" s="5" t="s">
        <v>65</v>
      </c>
      <c r="F506" s="5" t="s">
        <v>88</v>
      </c>
      <c r="G506" s="5" t="n">
        <v>250</v>
      </c>
      <c r="H506" s="12" t="n">
        <v>11.5</v>
      </c>
      <c r="I506" s="12" t="n">
        <v>2875</v>
      </c>
      <c r="J506" s="12" t="n">
        <v>1275</v>
      </c>
      <c r="K506" s="12" t="n">
        <f aca="false">I506-J506</f>
        <v>1600</v>
      </c>
    </row>
    <row r="507" customFormat="false" ht="15" hidden="false" customHeight="false" outlineLevel="0" collapsed="false">
      <c r="A507" s="11" t="n">
        <v>46150</v>
      </c>
      <c r="B507" s="5" t="s">
        <v>591</v>
      </c>
      <c r="C507" s="5" t="s">
        <v>99</v>
      </c>
      <c r="D507" s="5" t="s">
        <v>69</v>
      </c>
      <c r="E507" s="5" t="s">
        <v>58</v>
      </c>
      <c r="F507" s="5" t="s">
        <v>117</v>
      </c>
      <c r="G507" s="5" t="n">
        <v>2819</v>
      </c>
      <c r="H507" s="12" t="n">
        <v>3.26</v>
      </c>
      <c r="I507" s="12" t="n">
        <v>9189.94</v>
      </c>
      <c r="J507" s="12" t="n">
        <v>4087.55</v>
      </c>
      <c r="K507" s="12" t="n">
        <f aca="false">I507-J507</f>
        <v>5102.39</v>
      </c>
    </row>
    <row r="508" customFormat="false" ht="15" hidden="false" customHeight="false" outlineLevel="0" collapsed="false">
      <c r="A508" s="11" t="n">
        <v>46150</v>
      </c>
      <c r="B508" s="5" t="s">
        <v>592</v>
      </c>
      <c r="C508" s="5" t="s">
        <v>115</v>
      </c>
      <c r="D508" s="5" t="s">
        <v>69</v>
      </c>
      <c r="E508" s="5" t="s">
        <v>75</v>
      </c>
      <c r="F508" s="5" t="s">
        <v>78</v>
      </c>
      <c r="G508" s="5" t="n">
        <v>184</v>
      </c>
      <c r="H508" s="12" t="n">
        <v>6.1</v>
      </c>
      <c r="I508" s="12" t="n">
        <v>1122.4</v>
      </c>
      <c r="J508" s="12" t="n">
        <v>478.4</v>
      </c>
      <c r="K508" s="12" t="n">
        <f aca="false">I508-J508</f>
        <v>644</v>
      </c>
    </row>
    <row r="509" customFormat="false" ht="15" hidden="false" customHeight="false" outlineLevel="0" collapsed="false">
      <c r="A509" s="11" t="n">
        <v>46150</v>
      </c>
      <c r="B509" s="5" t="s">
        <v>593</v>
      </c>
      <c r="C509" s="5" t="s">
        <v>68</v>
      </c>
      <c r="D509" s="5" t="s">
        <v>69</v>
      </c>
      <c r="E509" s="5" t="s">
        <v>75</v>
      </c>
      <c r="F509" s="5" t="s">
        <v>78</v>
      </c>
      <c r="G509" s="5" t="n">
        <v>90</v>
      </c>
      <c r="H509" s="12" t="n">
        <v>6.1</v>
      </c>
      <c r="I509" s="12" t="n">
        <v>549</v>
      </c>
      <c r="J509" s="12" t="n">
        <v>234</v>
      </c>
      <c r="K509" s="12" t="n">
        <f aca="false">I509-J509</f>
        <v>315</v>
      </c>
    </row>
    <row r="510" customFormat="false" ht="15" hidden="false" customHeight="false" outlineLevel="0" collapsed="false">
      <c r="A510" s="11" t="n">
        <v>46150</v>
      </c>
      <c r="B510" s="5" t="s">
        <v>594</v>
      </c>
      <c r="C510" s="5" t="s">
        <v>56</v>
      </c>
      <c r="D510" s="5" t="s">
        <v>57</v>
      </c>
      <c r="E510" s="5" t="s">
        <v>75</v>
      </c>
      <c r="F510" s="5" t="s">
        <v>76</v>
      </c>
      <c r="G510" s="5" t="n">
        <v>212</v>
      </c>
      <c r="H510" s="12" t="n">
        <v>4.8</v>
      </c>
      <c r="I510" s="12" t="n">
        <v>1017.6</v>
      </c>
      <c r="J510" s="12" t="n">
        <v>434.6</v>
      </c>
      <c r="K510" s="12" t="n">
        <f aca="false">I510-J510</f>
        <v>583</v>
      </c>
    </row>
    <row r="511" customFormat="false" ht="15" hidden="false" customHeight="false" outlineLevel="0" collapsed="false">
      <c r="A511" s="11" t="n">
        <v>46150</v>
      </c>
      <c r="B511" s="5" t="s">
        <v>595</v>
      </c>
      <c r="C511" s="5" t="s">
        <v>73</v>
      </c>
      <c r="D511" s="5" t="s">
        <v>64</v>
      </c>
      <c r="E511" s="5" t="s">
        <v>65</v>
      </c>
      <c r="F511" s="5" t="s">
        <v>103</v>
      </c>
      <c r="G511" s="5" t="n">
        <v>225</v>
      </c>
      <c r="H511" s="12" t="n">
        <v>14.59</v>
      </c>
      <c r="I511" s="12" t="n">
        <v>3282.75</v>
      </c>
      <c r="J511" s="12" t="n">
        <v>1530</v>
      </c>
      <c r="K511" s="12" t="n">
        <f aca="false">I511-J511</f>
        <v>1752.75</v>
      </c>
    </row>
    <row r="512" customFormat="false" ht="15" hidden="false" customHeight="false" outlineLevel="0" collapsed="false">
      <c r="A512" s="11" t="n">
        <v>46151</v>
      </c>
      <c r="B512" s="5" t="s">
        <v>596</v>
      </c>
      <c r="C512" s="5" t="s">
        <v>115</v>
      </c>
      <c r="D512" s="5" t="s">
        <v>69</v>
      </c>
      <c r="E512" s="5" t="s">
        <v>58</v>
      </c>
      <c r="F512" s="5" t="s">
        <v>96</v>
      </c>
      <c r="G512" s="5" t="n">
        <v>4315</v>
      </c>
      <c r="H512" s="12" t="n">
        <v>2.1</v>
      </c>
      <c r="I512" s="12" t="n">
        <v>9061.5</v>
      </c>
      <c r="J512" s="12" t="n">
        <v>3969.8</v>
      </c>
      <c r="K512" s="12" t="n">
        <f aca="false">I512-J512</f>
        <v>5091.7</v>
      </c>
    </row>
    <row r="513" customFormat="false" ht="15" hidden="false" customHeight="false" outlineLevel="0" collapsed="false">
      <c r="A513" s="11" t="n">
        <v>46151</v>
      </c>
      <c r="B513" s="5" t="s">
        <v>597</v>
      </c>
      <c r="C513" s="5" t="s">
        <v>115</v>
      </c>
      <c r="D513" s="5" t="s">
        <v>69</v>
      </c>
      <c r="E513" s="5" t="s">
        <v>75</v>
      </c>
      <c r="F513" s="5" t="s">
        <v>76</v>
      </c>
      <c r="G513" s="5" t="n">
        <v>234</v>
      </c>
      <c r="H513" s="12" t="n">
        <v>4.8</v>
      </c>
      <c r="I513" s="12" t="n">
        <v>1123.2</v>
      </c>
      <c r="J513" s="12" t="n">
        <v>479.7</v>
      </c>
      <c r="K513" s="12" t="n">
        <f aca="false">I513-J513</f>
        <v>643.5</v>
      </c>
    </row>
    <row r="514" customFormat="false" ht="15" hidden="false" customHeight="false" outlineLevel="0" collapsed="false">
      <c r="A514" s="11" t="n">
        <v>46151</v>
      </c>
      <c r="B514" s="5" t="s">
        <v>598</v>
      </c>
      <c r="C514" s="5" t="s">
        <v>81</v>
      </c>
      <c r="D514" s="5" t="s">
        <v>64</v>
      </c>
      <c r="E514" s="5" t="s">
        <v>65</v>
      </c>
      <c r="F514" s="5" t="s">
        <v>88</v>
      </c>
      <c r="G514" s="5" t="n">
        <v>616</v>
      </c>
      <c r="H514" s="12" t="n">
        <v>11.5</v>
      </c>
      <c r="I514" s="12" t="n">
        <v>7084</v>
      </c>
      <c r="J514" s="12" t="n">
        <v>3141.6</v>
      </c>
      <c r="K514" s="12" t="n">
        <f aca="false">I514-J514</f>
        <v>3942.4</v>
      </c>
    </row>
    <row r="515" customFormat="false" ht="15" hidden="false" customHeight="false" outlineLevel="0" collapsed="false">
      <c r="A515" s="11" t="n">
        <v>46152</v>
      </c>
      <c r="B515" s="5" t="s">
        <v>599</v>
      </c>
      <c r="C515" s="5" t="s">
        <v>87</v>
      </c>
      <c r="D515" s="5" t="s">
        <v>64</v>
      </c>
      <c r="E515" s="5" t="s">
        <v>75</v>
      </c>
      <c r="F515" s="5" t="s">
        <v>78</v>
      </c>
      <c r="G515" s="5" t="n">
        <v>141</v>
      </c>
      <c r="H515" s="12" t="n">
        <v>6.1</v>
      </c>
      <c r="I515" s="12" t="n">
        <v>860.1</v>
      </c>
      <c r="J515" s="12" t="n">
        <v>366.6</v>
      </c>
      <c r="K515" s="12" t="n">
        <f aca="false">I515-J515</f>
        <v>493.5</v>
      </c>
    </row>
    <row r="516" customFormat="false" ht="15" hidden="false" customHeight="false" outlineLevel="0" collapsed="false">
      <c r="A516" s="11" t="n">
        <v>46152</v>
      </c>
      <c r="B516" s="5" t="s">
        <v>600</v>
      </c>
      <c r="C516" s="5" t="s">
        <v>81</v>
      </c>
      <c r="D516" s="5" t="s">
        <v>64</v>
      </c>
      <c r="E516" s="5" t="s">
        <v>65</v>
      </c>
      <c r="F516" s="5" t="s">
        <v>88</v>
      </c>
      <c r="G516" s="5" t="n">
        <v>616</v>
      </c>
      <c r="H516" s="12" t="n">
        <v>11.5</v>
      </c>
      <c r="I516" s="12" t="n">
        <v>7084</v>
      </c>
      <c r="J516" s="12" t="n">
        <v>3141.6</v>
      </c>
      <c r="K516" s="12" t="n">
        <f aca="false">I516-J516</f>
        <v>3942.4</v>
      </c>
    </row>
    <row r="517" customFormat="false" ht="15" hidden="false" customHeight="false" outlineLevel="0" collapsed="false">
      <c r="A517" s="11" t="n">
        <v>46152</v>
      </c>
      <c r="B517" s="5" t="s">
        <v>601</v>
      </c>
      <c r="C517" s="5" t="s">
        <v>81</v>
      </c>
      <c r="D517" s="5" t="s">
        <v>64</v>
      </c>
      <c r="E517" s="5" t="s">
        <v>65</v>
      </c>
      <c r="F517" s="5" t="s">
        <v>88</v>
      </c>
      <c r="G517" s="5" t="n">
        <v>616</v>
      </c>
      <c r="H517" s="12" t="n">
        <v>11.5</v>
      </c>
      <c r="I517" s="12" t="n">
        <v>7084</v>
      </c>
      <c r="J517" s="12" t="n">
        <v>3141.6</v>
      </c>
      <c r="K517" s="12" t="n">
        <f aca="false">I517-J517</f>
        <v>3942.4</v>
      </c>
    </row>
    <row r="518" customFormat="false" ht="15" hidden="false" customHeight="false" outlineLevel="0" collapsed="false">
      <c r="A518" s="11" t="n">
        <v>46152</v>
      </c>
      <c r="B518" s="5" t="s">
        <v>602</v>
      </c>
      <c r="C518" s="5" t="s">
        <v>115</v>
      </c>
      <c r="D518" s="5" t="s">
        <v>69</v>
      </c>
      <c r="E518" s="5" t="s">
        <v>65</v>
      </c>
      <c r="F518" s="5" t="s">
        <v>103</v>
      </c>
      <c r="G518" s="5" t="n">
        <v>189</v>
      </c>
      <c r="H518" s="12" t="n">
        <v>15.2</v>
      </c>
      <c r="I518" s="12" t="n">
        <v>2872.8</v>
      </c>
      <c r="J518" s="12" t="n">
        <v>1285.2</v>
      </c>
      <c r="K518" s="12" t="n">
        <f aca="false">I518-J518</f>
        <v>1587.6</v>
      </c>
    </row>
    <row r="519" customFormat="false" ht="15" hidden="false" customHeight="false" outlineLevel="0" collapsed="false">
      <c r="A519" s="11" t="n">
        <v>46152</v>
      </c>
      <c r="B519" s="5" t="s">
        <v>603</v>
      </c>
      <c r="C519" s="5" t="s">
        <v>115</v>
      </c>
      <c r="D519" s="5" t="s">
        <v>69</v>
      </c>
      <c r="E519" s="5" t="s">
        <v>70</v>
      </c>
      <c r="F519" s="5" t="s">
        <v>71</v>
      </c>
      <c r="G519" s="5" t="n">
        <v>847</v>
      </c>
      <c r="H519" s="12" t="n">
        <v>2.95</v>
      </c>
      <c r="I519" s="12" t="n">
        <v>2498.65</v>
      </c>
      <c r="J519" s="12" t="n">
        <v>1101.1</v>
      </c>
      <c r="K519" s="12" t="n">
        <f aca="false">I519-J519</f>
        <v>1397.55</v>
      </c>
    </row>
    <row r="520" customFormat="false" ht="15" hidden="false" customHeight="false" outlineLevel="0" collapsed="false">
      <c r="A520" s="11" t="n">
        <v>46152</v>
      </c>
      <c r="B520" s="5" t="s">
        <v>604</v>
      </c>
      <c r="C520" s="5" t="s">
        <v>56</v>
      </c>
      <c r="D520" s="5" t="s">
        <v>57</v>
      </c>
      <c r="E520" s="5" t="s">
        <v>70</v>
      </c>
      <c r="F520" s="5" t="s">
        <v>71</v>
      </c>
      <c r="G520" s="5" t="n">
        <v>1542</v>
      </c>
      <c r="H520" s="12" t="n">
        <v>2.95</v>
      </c>
      <c r="I520" s="12" t="n">
        <v>4548.9</v>
      </c>
      <c r="J520" s="12" t="n">
        <v>2004.6</v>
      </c>
      <c r="K520" s="12" t="n">
        <f aca="false">I520-J520</f>
        <v>2544.3</v>
      </c>
    </row>
    <row r="521" customFormat="false" ht="15" hidden="false" customHeight="false" outlineLevel="0" collapsed="false">
      <c r="A521" s="11" t="n">
        <v>46153</v>
      </c>
      <c r="B521" s="5" t="s">
        <v>605</v>
      </c>
      <c r="C521" s="5" t="s">
        <v>87</v>
      </c>
      <c r="D521" s="5" t="s">
        <v>64</v>
      </c>
      <c r="E521" s="5" t="s">
        <v>58</v>
      </c>
      <c r="F521" s="5" t="s">
        <v>61</v>
      </c>
      <c r="G521" s="5" t="n">
        <v>701</v>
      </c>
      <c r="H521" s="12" t="n">
        <v>24.5</v>
      </c>
      <c r="I521" s="12" t="n">
        <v>17174.5</v>
      </c>
      <c r="J521" s="12" t="n">
        <v>8271.8</v>
      </c>
      <c r="K521" s="12" t="n">
        <f aca="false">I521-J521</f>
        <v>8902.7</v>
      </c>
    </row>
    <row r="522" customFormat="false" ht="15" hidden="false" customHeight="false" outlineLevel="0" collapsed="false">
      <c r="A522" s="11" t="n">
        <v>46153</v>
      </c>
      <c r="B522" s="5" t="s">
        <v>606</v>
      </c>
      <c r="C522" s="5" t="s">
        <v>99</v>
      </c>
      <c r="D522" s="5" t="s">
        <v>69</v>
      </c>
      <c r="E522" s="5" t="s">
        <v>75</v>
      </c>
      <c r="F522" s="5" t="s">
        <v>76</v>
      </c>
      <c r="G522" s="5" t="n">
        <v>416</v>
      </c>
      <c r="H522" s="12" t="n">
        <v>4.61</v>
      </c>
      <c r="I522" s="12" t="n">
        <v>1917.76</v>
      </c>
      <c r="J522" s="12" t="n">
        <v>852.8</v>
      </c>
      <c r="K522" s="12" t="n">
        <f aca="false">I522-J522</f>
        <v>1064.96</v>
      </c>
    </row>
    <row r="523" customFormat="false" ht="15" hidden="false" customHeight="false" outlineLevel="0" collapsed="false">
      <c r="A523" s="11" t="n">
        <v>46153</v>
      </c>
      <c r="B523" s="5" t="s">
        <v>607</v>
      </c>
      <c r="C523" s="5" t="s">
        <v>68</v>
      </c>
      <c r="D523" s="5" t="s">
        <v>69</v>
      </c>
      <c r="E523" s="5" t="s">
        <v>75</v>
      </c>
      <c r="F523" s="5" t="s">
        <v>78</v>
      </c>
      <c r="G523" s="5" t="n">
        <v>90</v>
      </c>
      <c r="H523" s="12" t="n">
        <v>6.1</v>
      </c>
      <c r="I523" s="12" t="n">
        <v>549</v>
      </c>
      <c r="J523" s="12" t="n">
        <v>234</v>
      </c>
      <c r="K523" s="12" t="n">
        <f aca="false">I523-J523</f>
        <v>315</v>
      </c>
    </row>
    <row r="524" customFormat="false" ht="15" hidden="false" customHeight="false" outlineLevel="0" collapsed="false">
      <c r="A524" s="11" t="n">
        <v>46153</v>
      </c>
      <c r="B524" s="5" t="s">
        <v>608</v>
      </c>
      <c r="C524" s="5" t="s">
        <v>63</v>
      </c>
      <c r="D524" s="5" t="s">
        <v>64</v>
      </c>
      <c r="E524" s="5" t="s">
        <v>65</v>
      </c>
      <c r="F524" s="5" t="s">
        <v>103</v>
      </c>
      <c r="G524" s="5" t="n">
        <v>350</v>
      </c>
      <c r="H524" s="12" t="n">
        <v>15.2</v>
      </c>
      <c r="I524" s="12" t="n">
        <v>5320</v>
      </c>
      <c r="J524" s="12" t="n">
        <v>2380</v>
      </c>
      <c r="K524" s="12" t="n">
        <f aca="false">I524-J524</f>
        <v>2940</v>
      </c>
    </row>
    <row r="525" customFormat="false" ht="15" hidden="false" customHeight="false" outlineLevel="0" collapsed="false">
      <c r="A525" s="11" t="n">
        <v>46153</v>
      </c>
      <c r="B525" s="5" t="s">
        <v>609</v>
      </c>
      <c r="C525" s="5" t="s">
        <v>115</v>
      </c>
      <c r="D525" s="5" t="s">
        <v>69</v>
      </c>
      <c r="E525" s="5" t="s">
        <v>65</v>
      </c>
      <c r="F525" s="5" t="s">
        <v>103</v>
      </c>
      <c r="G525" s="5" t="n">
        <v>189</v>
      </c>
      <c r="H525" s="12" t="n">
        <v>15.2</v>
      </c>
      <c r="I525" s="12" t="n">
        <v>2872.8</v>
      </c>
      <c r="J525" s="12" t="n">
        <v>1285.2</v>
      </c>
      <c r="K525" s="12" t="n">
        <f aca="false">I525-J525</f>
        <v>1587.6</v>
      </c>
    </row>
    <row r="526" customFormat="false" ht="15" hidden="false" customHeight="false" outlineLevel="0" collapsed="false">
      <c r="A526" s="11" t="n">
        <v>46154</v>
      </c>
      <c r="B526" s="5" t="s">
        <v>610</v>
      </c>
      <c r="C526" s="5" t="s">
        <v>94</v>
      </c>
      <c r="D526" s="5" t="s">
        <v>95</v>
      </c>
      <c r="E526" s="5" t="s">
        <v>75</v>
      </c>
      <c r="F526" s="5" t="s">
        <v>76</v>
      </c>
      <c r="G526" s="5" t="n">
        <v>309</v>
      </c>
      <c r="H526" s="12" t="n">
        <v>4.8</v>
      </c>
      <c r="I526" s="12" t="n">
        <v>1483.2</v>
      </c>
      <c r="J526" s="12" t="n">
        <v>633.45</v>
      </c>
      <c r="K526" s="12" t="n">
        <f aca="false">I526-J526</f>
        <v>849.75</v>
      </c>
    </row>
    <row r="527" customFormat="false" ht="15" hidden="false" customHeight="false" outlineLevel="0" collapsed="false">
      <c r="A527" s="11" t="n">
        <v>46154</v>
      </c>
      <c r="B527" s="5" t="s">
        <v>611</v>
      </c>
      <c r="C527" s="5" t="s">
        <v>63</v>
      </c>
      <c r="D527" s="5" t="s">
        <v>64</v>
      </c>
      <c r="E527" s="5" t="s">
        <v>65</v>
      </c>
      <c r="F527" s="5" t="s">
        <v>66</v>
      </c>
      <c r="G527" s="5" t="n">
        <v>214</v>
      </c>
      <c r="H527" s="12" t="n">
        <v>24.9</v>
      </c>
      <c r="I527" s="12" t="n">
        <v>5328.6</v>
      </c>
      <c r="J527" s="12" t="n">
        <v>2439.6</v>
      </c>
      <c r="K527" s="12" t="n">
        <f aca="false">I527-J527</f>
        <v>2889</v>
      </c>
    </row>
    <row r="528" customFormat="false" ht="15" hidden="false" customHeight="false" outlineLevel="0" collapsed="false">
      <c r="A528" s="11" t="n">
        <v>46154</v>
      </c>
      <c r="B528" s="5" t="s">
        <v>612</v>
      </c>
      <c r="C528" s="5" t="s">
        <v>73</v>
      </c>
      <c r="D528" s="5" t="s">
        <v>64</v>
      </c>
      <c r="E528" s="5" t="s">
        <v>65</v>
      </c>
      <c r="F528" s="5" t="s">
        <v>103</v>
      </c>
      <c r="G528" s="5" t="n">
        <v>225</v>
      </c>
      <c r="H528" s="12" t="n">
        <v>14.59</v>
      </c>
      <c r="I528" s="12" t="n">
        <v>3282.75</v>
      </c>
      <c r="J528" s="12" t="n">
        <v>1530</v>
      </c>
      <c r="K528" s="12" t="n">
        <f aca="false">I528-J528</f>
        <v>1752.75</v>
      </c>
    </row>
    <row r="529" customFormat="false" ht="15" hidden="false" customHeight="false" outlineLevel="0" collapsed="false">
      <c r="A529" s="11" t="n">
        <v>46154</v>
      </c>
      <c r="B529" s="5" t="s">
        <v>613</v>
      </c>
      <c r="C529" s="5" t="s">
        <v>68</v>
      </c>
      <c r="D529" s="5" t="s">
        <v>69</v>
      </c>
      <c r="E529" s="5" t="s">
        <v>65</v>
      </c>
      <c r="F529" s="5" t="s">
        <v>103</v>
      </c>
      <c r="G529" s="5" t="n">
        <v>228</v>
      </c>
      <c r="H529" s="12" t="n">
        <v>15.2</v>
      </c>
      <c r="I529" s="12" t="n">
        <v>3465.6</v>
      </c>
      <c r="J529" s="12" t="n">
        <v>1550.4</v>
      </c>
      <c r="K529" s="12" t="n">
        <f aca="false">I529-J529</f>
        <v>1915.2</v>
      </c>
    </row>
    <row r="530" customFormat="false" ht="15" hidden="false" customHeight="false" outlineLevel="0" collapsed="false">
      <c r="A530" s="11" t="n">
        <v>46154</v>
      </c>
      <c r="B530" s="5" t="s">
        <v>614</v>
      </c>
      <c r="C530" s="5" t="s">
        <v>56</v>
      </c>
      <c r="D530" s="5" t="s">
        <v>57</v>
      </c>
      <c r="E530" s="5" t="s">
        <v>70</v>
      </c>
      <c r="F530" s="5" t="s">
        <v>90</v>
      </c>
      <c r="G530" s="5" t="n">
        <v>1685</v>
      </c>
      <c r="H530" s="12" t="n">
        <v>2.7</v>
      </c>
      <c r="I530" s="12" t="n">
        <v>4549.5</v>
      </c>
      <c r="J530" s="12" t="n">
        <v>2022</v>
      </c>
      <c r="K530" s="12" t="n">
        <f aca="false">I530-J530</f>
        <v>2527.5</v>
      </c>
    </row>
    <row r="531" customFormat="false" ht="15" hidden="false" customHeight="false" outlineLevel="0" collapsed="false">
      <c r="A531" s="11" t="n">
        <v>46155</v>
      </c>
      <c r="B531" s="5" t="s">
        <v>615</v>
      </c>
      <c r="C531" s="5" t="s">
        <v>63</v>
      </c>
      <c r="D531" s="5" t="s">
        <v>64</v>
      </c>
      <c r="E531" s="5" t="s">
        <v>58</v>
      </c>
      <c r="F531" s="5" t="s">
        <v>96</v>
      </c>
      <c r="G531" s="5" t="n">
        <v>7815</v>
      </c>
      <c r="H531" s="12" t="n">
        <v>2.1</v>
      </c>
      <c r="I531" s="12" t="n">
        <v>16411.5</v>
      </c>
      <c r="J531" s="12" t="n">
        <v>7189.8</v>
      </c>
      <c r="K531" s="12" t="n">
        <f aca="false">I531-J531</f>
        <v>9221.7</v>
      </c>
    </row>
    <row r="532" customFormat="false" ht="15" hidden="false" customHeight="false" outlineLevel="0" collapsed="false">
      <c r="A532" s="11" t="n">
        <v>46155</v>
      </c>
      <c r="B532" s="5" t="s">
        <v>616</v>
      </c>
      <c r="C532" s="5" t="s">
        <v>85</v>
      </c>
      <c r="D532" s="5" t="s">
        <v>69</v>
      </c>
      <c r="E532" s="5" t="s">
        <v>58</v>
      </c>
      <c r="F532" s="5" t="s">
        <v>117</v>
      </c>
      <c r="G532" s="5" t="n">
        <v>1053</v>
      </c>
      <c r="H532" s="12" t="n">
        <v>3.4</v>
      </c>
      <c r="I532" s="12" t="n">
        <v>3580.2</v>
      </c>
      <c r="J532" s="12" t="n">
        <v>1526.85</v>
      </c>
      <c r="K532" s="12" t="n">
        <f aca="false">I532-J532</f>
        <v>2053.35</v>
      </c>
    </row>
    <row r="533" customFormat="false" ht="15" hidden="false" customHeight="false" outlineLevel="0" collapsed="false">
      <c r="A533" s="11" t="n">
        <v>46155</v>
      </c>
      <c r="B533" s="5" t="s">
        <v>617</v>
      </c>
      <c r="C533" s="5" t="s">
        <v>56</v>
      </c>
      <c r="D533" s="5" t="s">
        <v>57</v>
      </c>
      <c r="E533" s="5" t="s">
        <v>58</v>
      </c>
      <c r="F533" s="5" t="s">
        <v>59</v>
      </c>
      <c r="G533" s="5" t="n">
        <v>1909</v>
      </c>
      <c r="H533" s="12" t="n">
        <v>3.9</v>
      </c>
      <c r="I533" s="12" t="n">
        <v>7445.1</v>
      </c>
      <c r="J533" s="12" t="n">
        <v>3245.3</v>
      </c>
      <c r="K533" s="12" t="n">
        <f aca="false">I533-J533</f>
        <v>4199.8</v>
      </c>
    </row>
    <row r="534" customFormat="false" ht="15" hidden="false" customHeight="false" outlineLevel="0" collapsed="false">
      <c r="A534" s="11" t="n">
        <v>46155</v>
      </c>
      <c r="B534" s="5" t="s">
        <v>618</v>
      </c>
      <c r="C534" s="5" t="s">
        <v>87</v>
      </c>
      <c r="D534" s="5" t="s">
        <v>64</v>
      </c>
      <c r="E534" s="5" t="s">
        <v>75</v>
      </c>
      <c r="F534" s="5" t="s">
        <v>78</v>
      </c>
      <c r="G534" s="5" t="n">
        <v>141</v>
      </c>
      <c r="H534" s="12" t="n">
        <v>6.1</v>
      </c>
      <c r="I534" s="12" t="n">
        <v>860.1</v>
      </c>
      <c r="J534" s="12" t="n">
        <v>366.6</v>
      </c>
      <c r="K534" s="12" t="n">
        <f aca="false">I534-J534</f>
        <v>493.5</v>
      </c>
    </row>
    <row r="535" customFormat="false" ht="15" hidden="false" customHeight="false" outlineLevel="0" collapsed="false">
      <c r="A535" s="11" t="n">
        <v>46155</v>
      </c>
      <c r="B535" s="5" t="s">
        <v>619</v>
      </c>
      <c r="C535" s="5" t="s">
        <v>85</v>
      </c>
      <c r="D535" s="5" t="s">
        <v>69</v>
      </c>
      <c r="E535" s="5" t="s">
        <v>65</v>
      </c>
      <c r="F535" s="5" t="s">
        <v>88</v>
      </c>
      <c r="G535" s="5" t="n">
        <v>107</v>
      </c>
      <c r="H535" s="12" t="n">
        <v>11.5</v>
      </c>
      <c r="I535" s="12" t="n">
        <v>1230.5</v>
      </c>
      <c r="J535" s="12" t="n">
        <v>545.7</v>
      </c>
      <c r="K535" s="12" t="n">
        <f aca="false">I535-J535</f>
        <v>684.8</v>
      </c>
    </row>
    <row r="536" customFormat="false" ht="15" hidden="false" customHeight="false" outlineLevel="0" collapsed="false">
      <c r="A536" s="11" t="n">
        <v>46155</v>
      </c>
      <c r="B536" s="5" t="s">
        <v>620</v>
      </c>
      <c r="C536" s="5" t="s">
        <v>99</v>
      </c>
      <c r="D536" s="5" t="s">
        <v>69</v>
      </c>
      <c r="E536" s="5" t="s">
        <v>70</v>
      </c>
      <c r="F536" s="5" t="s">
        <v>90</v>
      </c>
      <c r="G536" s="5" t="n">
        <v>1433</v>
      </c>
      <c r="H536" s="12" t="n">
        <v>2.59</v>
      </c>
      <c r="I536" s="12" t="n">
        <v>3711.47</v>
      </c>
      <c r="J536" s="12" t="n">
        <v>1719.6</v>
      </c>
      <c r="K536" s="12" t="n">
        <f aca="false">I536-J536</f>
        <v>1991.87</v>
      </c>
    </row>
    <row r="537" customFormat="false" ht="15" hidden="false" customHeight="false" outlineLevel="0" collapsed="false">
      <c r="A537" s="11" t="n">
        <v>46156</v>
      </c>
      <c r="B537" s="5" t="s">
        <v>621</v>
      </c>
      <c r="C537" s="5" t="s">
        <v>73</v>
      </c>
      <c r="D537" s="5" t="s">
        <v>64</v>
      </c>
      <c r="E537" s="5" t="s">
        <v>58</v>
      </c>
      <c r="F537" s="5" t="s">
        <v>61</v>
      </c>
      <c r="G537" s="5" t="n">
        <v>293</v>
      </c>
      <c r="H537" s="12" t="n">
        <v>23.52</v>
      </c>
      <c r="I537" s="12" t="n">
        <v>6891.36</v>
      </c>
      <c r="J537" s="12" t="n">
        <v>3457.4</v>
      </c>
      <c r="K537" s="12" t="n">
        <f aca="false">I537-J537</f>
        <v>3433.96</v>
      </c>
    </row>
    <row r="538" customFormat="false" ht="15" hidden="false" customHeight="false" outlineLevel="0" collapsed="false">
      <c r="A538" s="11" t="n">
        <v>46156</v>
      </c>
      <c r="B538" s="5" t="s">
        <v>622</v>
      </c>
      <c r="C538" s="5" t="s">
        <v>56</v>
      </c>
      <c r="D538" s="5" t="s">
        <v>57</v>
      </c>
      <c r="E538" s="5" t="s">
        <v>75</v>
      </c>
      <c r="F538" s="5" t="s">
        <v>76</v>
      </c>
      <c r="G538" s="5" t="n">
        <v>212</v>
      </c>
      <c r="H538" s="12" t="n">
        <v>4.8</v>
      </c>
      <c r="I538" s="12" t="n">
        <v>1017.6</v>
      </c>
      <c r="J538" s="12" t="n">
        <v>434.6</v>
      </c>
      <c r="K538" s="12" t="n">
        <f aca="false">I538-J538</f>
        <v>583</v>
      </c>
    </row>
    <row r="539" customFormat="false" ht="15" hidden="false" customHeight="false" outlineLevel="0" collapsed="false">
      <c r="A539" s="11" t="n">
        <v>46156</v>
      </c>
      <c r="B539" s="5" t="s">
        <v>623</v>
      </c>
      <c r="C539" s="5" t="s">
        <v>99</v>
      </c>
      <c r="D539" s="5" t="s">
        <v>69</v>
      </c>
      <c r="E539" s="5" t="s">
        <v>65</v>
      </c>
      <c r="F539" s="5" t="s">
        <v>66</v>
      </c>
      <c r="G539" s="5" t="n">
        <v>210</v>
      </c>
      <c r="H539" s="12" t="n">
        <v>23.9</v>
      </c>
      <c r="I539" s="12" t="n">
        <v>5019</v>
      </c>
      <c r="J539" s="12" t="n">
        <v>2394</v>
      </c>
      <c r="K539" s="12" t="n">
        <f aca="false">I539-J539</f>
        <v>2625</v>
      </c>
    </row>
    <row r="540" customFormat="false" ht="15" hidden="false" customHeight="false" outlineLevel="0" collapsed="false">
      <c r="A540" s="11" t="n">
        <v>46156</v>
      </c>
      <c r="B540" s="5" t="s">
        <v>624</v>
      </c>
      <c r="C540" s="5" t="s">
        <v>99</v>
      </c>
      <c r="D540" s="5" t="s">
        <v>69</v>
      </c>
      <c r="E540" s="5" t="s">
        <v>70</v>
      </c>
      <c r="F540" s="5" t="s">
        <v>90</v>
      </c>
      <c r="G540" s="5" t="n">
        <v>1433</v>
      </c>
      <c r="H540" s="12" t="n">
        <v>2.59</v>
      </c>
      <c r="I540" s="12" t="n">
        <v>3711.47</v>
      </c>
      <c r="J540" s="12" t="n">
        <v>1719.6</v>
      </c>
      <c r="K540" s="12" t="n">
        <f aca="false">I540-J540</f>
        <v>1991.87</v>
      </c>
    </row>
    <row r="541" customFormat="false" ht="15" hidden="false" customHeight="false" outlineLevel="0" collapsed="false">
      <c r="A541" s="11" t="n">
        <v>46156</v>
      </c>
      <c r="B541" s="5" t="s">
        <v>625</v>
      </c>
      <c r="C541" s="5" t="s">
        <v>63</v>
      </c>
      <c r="D541" s="5" t="s">
        <v>64</v>
      </c>
      <c r="E541" s="5" t="s">
        <v>70</v>
      </c>
      <c r="F541" s="5" t="s">
        <v>90</v>
      </c>
      <c r="G541" s="5" t="n">
        <v>3691</v>
      </c>
      <c r="H541" s="12" t="n">
        <v>2.7</v>
      </c>
      <c r="I541" s="12" t="n">
        <v>9965.7</v>
      </c>
      <c r="J541" s="12" t="n">
        <v>4429.2</v>
      </c>
      <c r="K541" s="12" t="n">
        <f aca="false">I541-J541</f>
        <v>5536.5</v>
      </c>
    </row>
    <row r="542" customFormat="false" ht="15" hidden="false" customHeight="false" outlineLevel="0" collapsed="false">
      <c r="A542" s="11" t="n">
        <v>46156</v>
      </c>
      <c r="B542" s="5" t="s">
        <v>626</v>
      </c>
      <c r="C542" s="5" t="s">
        <v>115</v>
      </c>
      <c r="D542" s="5" t="s">
        <v>69</v>
      </c>
      <c r="E542" s="5" t="s">
        <v>70</v>
      </c>
      <c r="F542" s="5" t="s">
        <v>71</v>
      </c>
      <c r="G542" s="5" t="n">
        <v>847</v>
      </c>
      <c r="H542" s="12" t="n">
        <v>2.95</v>
      </c>
      <c r="I542" s="12" t="n">
        <v>2498.65</v>
      </c>
      <c r="J542" s="12" t="n">
        <v>1101.1</v>
      </c>
      <c r="K542" s="12" t="n">
        <f aca="false">I542-J542</f>
        <v>1397.55</v>
      </c>
    </row>
    <row r="543" customFormat="false" ht="15" hidden="false" customHeight="false" outlineLevel="0" collapsed="false">
      <c r="A543" s="11" t="n">
        <v>46156</v>
      </c>
      <c r="B543" s="5" t="s">
        <v>627</v>
      </c>
      <c r="C543" s="5" t="s">
        <v>68</v>
      </c>
      <c r="D543" s="5" t="s">
        <v>69</v>
      </c>
      <c r="E543" s="5" t="s">
        <v>70</v>
      </c>
      <c r="F543" s="5" t="s">
        <v>92</v>
      </c>
      <c r="G543" s="5" t="n">
        <v>976</v>
      </c>
      <c r="H543" s="12" t="n">
        <v>2.4</v>
      </c>
      <c r="I543" s="12" t="n">
        <v>2342.4</v>
      </c>
      <c r="J543" s="12" t="n">
        <v>927.2</v>
      </c>
      <c r="K543" s="12" t="n">
        <f aca="false">I543-J543</f>
        <v>1415.2</v>
      </c>
    </row>
    <row r="544" customFormat="false" ht="15" hidden="false" customHeight="false" outlineLevel="0" collapsed="false">
      <c r="A544" s="11" t="n">
        <v>46158</v>
      </c>
      <c r="B544" s="5" t="s">
        <v>628</v>
      </c>
      <c r="C544" s="5" t="s">
        <v>73</v>
      </c>
      <c r="D544" s="5" t="s">
        <v>64</v>
      </c>
      <c r="E544" s="5" t="s">
        <v>58</v>
      </c>
      <c r="F544" s="5" t="s">
        <v>117</v>
      </c>
      <c r="G544" s="5" t="n">
        <v>2116</v>
      </c>
      <c r="H544" s="12" t="n">
        <v>3.26</v>
      </c>
      <c r="I544" s="12" t="n">
        <v>6898.16</v>
      </c>
      <c r="J544" s="12" t="n">
        <v>3068.2</v>
      </c>
      <c r="K544" s="12" t="n">
        <f aca="false">I544-J544</f>
        <v>3829.96</v>
      </c>
    </row>
    <row r="545" customFormat="false" ht="15" hidden="false" customHeight="false" outlineLevel="0" collapsed="false">
      <c r="A545" s="11" t="n">
        <v>46158</v>
      </c>
      <c r="B545" s="5" t="s">
        <v>629</v>
      </c>
      <c r="C545" s="5" t="s">
        <v>56</v>
      </c>
      <c r="D545" s="5" t="s">
        <v>57</v>
      </c>
      <c r="E545" s="5" t="s">
        <v>58</v>
      </c>
      <c r="F545" s="5" t="s">
        <v>61</v>
      </c>
      <c r="G545" s="5" t="n">
        <v>303</v>
      </c>
      <c r="H545" s="12" t="n">
        <v>24.5</v>
      </c>
      <c r="I545" s="12" t="n">
        <v>7423.5</v>
      </c>
      <c r="J545" s="12" t="n">
        <v>3575.4</v>
      </c>
      <c r="K545" s="12" t="n">
        <f aca="false">I545-J545</f>
        <v>3848.1</v>
      </c>
    </row>
    <row r="546" customFormat="false" ht="15" hidden="false" customHeight="false" outlineLevel="0" collapsed="false">
      <c r="A546" s="11" t="n">
        <v>46158</v>
      </c>
      <c r="B546" s="5" t="s">
        <v>630</v>
      </c>
      <c r="C546" s="5" t="s">
        <v>63</v>
      </c>
      <c r="D546" s="5" t="s">
        <v>64</v>
      </c>
      <c r="E546" s="5" t="s">
        <v>75</v>
      </c>
      <c r="F546" s="5" t="s">
        <v>83</v>
      </c>
      <c r="G546" s="5" t="n">
        <v>346</v>
      </c>
      <c r="H546" s="12" t="n">
        <v>4.2</v>
      </c>
      <c r="I546" s="12" t="n">
        <v>1453.2</v>
      </c>
      <c r="J546" s="12" t="n">
        <v>640.1</v>
      </c>
      <c r="K546" s="12" t="n">
        <f aca="false">I546-J546</f>
        <v>813.1</v>
      </c>
    </row>
    <row r="547" customFormat="false" ht="15" hidden="false" customHeight="false" outlineLevel="0" collapsed="false">
      <c r="A547" s="11" t="n">
        <v>46158</v>
      </c>
      <c r="B547" s="5" t="s">
        <v>631</v>
      </c>
      <c r="C547" s="5" t="s">
        <v>73</v>
      </c>
      <c r="D547" s="5" t="s">
        <v>64</v>
      </c>
      <c r="E547" s="5" t="s">
        <v>75</v>
      </c>
      <c r="F547" s="5" t="s">
        <v>83</v>
      </c>
      <c r="G547" s="5" t="n">
        <v>212</v>
      </c>
      <c r="H547" s="12" t="n">
        <v>4.03</v>
      </c>
      <c r="I547" s="12" t="n">
        <v>854.36</v>
      </c>
      <c r="J547" s="12" t="n">
        <v>392.2</v>
      </c>
      <c r="K547" s="12" t="n">
        <f aca="false">I547-J547</f>
        <v>462.16</v>
      </c>
    </row>
    <row r="548" customFormat="false" ht="15" hidden="false" customHeight="false" outlineLevel="0" collapsed="false">
      <c r="A548" s="11" t="n">
        <v>46158</v>
      </c>
      <c r="B548" s="5" t="s">
        <v>632</v>
      </c>
      <c r="C548" s="5" t="s">
        <v>99</v>
      </c>
      <c r="D548" s="5" t="s">
        <v>69</v>
      </c>
      <c r="E548" s="5" t="s">
        <v>65</v>
      </c>
      <c r="F548" s="5" t="s">
        <v>103</v>
      </c>
      <c r="G548" s="5" t="n">
        <v>345</v>
      </c>
      <c r="H548" s="12" t="n">
        <v>14.59</v>
      </c>
      <c r="I548" s="12" t="n">
        <v>5033.55</v>
      </c>
      <c r="J548" s="12" t="n">
        <v>2346</v>
      </c>
      <c r="K548" s="12" t="n">
        <f aca="false">I548-J548</f>
        <v>2687.55</v>
      </c>
    </row>
    <row r="549" customFormat="false" ht="15" hidden="false" customHeight="false" outlineLevel="0" collapsed="false">
      <c r="A549" s="11" t="n">
        <v>46158</v>
      </c>
      <c r="B549" s="5" t="s">
        <v>633</v>
      </c>
      <c r="C549" s="5" t="s">
        <v>94</v>
      </c>
      <c r="D549" s="5" t="s">
        <v>95</v>
      </c>
      <c r="E549" s="5" t="s">
        <v>65</v>
      </c>
      <c r="F549" s="5" t="s">
        <v>66</v>
      </c>
      <c r="G549" s="5" t="n">
        <v>106</v>
      </c>
      <c r="H549" s="12" t="n">
        <v>24.9</v>
      </c>
      <c r="I549" s="12" t="n">
        <v>2639.4</v>
      </c>
      <c r="J549" s="12" t="n">
        <v>1208.4</v>
      </c>
      <c r="K549" s="12" t="n">
        <f aca="false">I549-J549</f>
        <v>1431</v>
      </c>
    </row>
    <row r="550" customFormat="false" ht="15" hidden="false" customHeight="false" outlineLevel="0" collapsed="false">
      <c r="A550" s="11" t="n">
        <v>46158</v>
      </c>
      <c r="B550" s="5" t="s">
        <v>634</v>
      </c>
      <c r="C550" s="5" t="s">
        <v>81</v>
      </c>
      <c r="D550" s="5" t="s">
        <v>64</v>
      </c>
      <c r="E550" s="5" t="s">
        <v>70</v>
      </c>
      <c r="F550" s="5" t="s">
        <v>90</v>
      </c>
      <c r="G550" s="5" t="n">
        <v>2394</v>
      </c>
      <c r="H550" s="12" t="n">
        <v>2.7</v>
      </c>
      <c r="I550" s="12" t="n">
        <v>6463.8</v>
      </c>
      <c r="J550" s="12" t="n">
        <v>2872.8</v>
      </c>
      <c r="K550" s="12" t="n">
        <f aca="false">I550-J550</f>
        <v>3591</v>
      </c>
    </row>
    <row r="551" customFormat="false" ht="15" hidden="false" customHeight="false" outlineLevel="0" collapsed="false">
      <c r="A551" s="11" t="n">
        <v>46158</v>
      </c>
      <c r="B551" s="5" t="s">
        <v>635</v>
      </c>
      <c r="C551" s="5" t="s">
        <v>63</v>
      </c>
      <c r="D551" s="5" t="s">
        <v>64</v>
      </c>
      <c r="E551" s="5" t="s">
        <v>70</v>
      </c>
      <c r="F551" s="5" t="s">
        <v>71</v>
      </c>
      <c r="G551" s="5" t="n">
        <v>3379</v>
      </c>
      <c r="H551" s="12" t="n">
        <v>2.95</v>
      </c>
      <c r="I551" s="12" t="n">
        <v>9968.05</v>
      </c>
      <c r="J551" s="12" t="n">
        <v>4392.7</v>
      </c>
      <c r="K551" s="12" t="n">
        <f aca="false">I551-J551</f>
        <v>5575.35</v>
      </c>
    </row>
    <row r="552" customFormat="false" ht="15" hidden="false" customHeight="false" outlineLevel="0" collapsed="false">
      <c r="A552" s="11" t="n">
        <v>46158</v>
      </c>
      <c r="B552" s="5" t="s">
        <v>636</v>
      </c>
      <c r="C552" s="5" t="s">
        <v>85</v>
      </c>
      <c r="D552" s="5" t="s">
        <v>69</v>
      </c>
      <c r="E552" s="5" t="s">
        <v>70</v>
      </c>
      <c r="F552" s="5" t="s">
        <v>92</v>
      </c>
      <c r="G552" s="5" t="n">
        <v>880</v>
      </c>
      <c r="H552" s="12" t="n">
        <v>2.4</v>
      </c>
      <c r="I552" s="12" t="n">
        <v>2112</v>
      </c>
      <c r="J552" s="12" t="n">
        <v>836</v>
      </c>
      <c r="K552" s="12" t="n">
        <f aca="false">I552-J552</f>
        <v>1276</v>
      </c>
    </row>
    <row r="553" customFormat="false" ht="15" hidden="false" customHeight="false" outlineLevel="0" collapsed="false">
      <c r="A553" s="11" t="n">
        <v>46159</v>
      </c>
      <c r="B553" s="5" t="s">
        <v>637</v>
      </c>
      <c r="C553" s="5" t="s">
        <v>73</v>
      </c>
      <c r="D553" s="5" t="s">
        <v>64</v>
      </c>
      <c r="E553" s="5" t="s">
        <v>65</v>
      </c>
      <c r="F553" s="5" t="s">
        <v>66</v>
      </c>
      <c r="G553" s="5" t="n">
        <v>137</v>
      </c>
      <c r="H553" s="12" t="n">
        <v>23.9</v>
      </c>
      <c r="I553" s="12" t="n">
        <v>3274.3</v>
      </c>
      <c r="J553" s="12" t="n">
        <v>1561.8</v>
      </c>
      <c r="K553" s="12" t="n">
        <f aca="false">I553-J553</f>
        <v>1712.5</v>
      </c>
    </row>
    <row r="554" customFormat="false" ht="15" hidden="false" customHeight="false" outlineLevel="0" collapsed="false">
      <c r="A554" s="11" t="n">
        <v>46160</v>
      </c>
      <c r="B554" s="5" t="s">
        <v>638</v>
      </c>
      <c r="C554" s="5" t="s">
        <v>94</v>
      </c>
      <c r="D554" s="5" t="s">
        <v>95</v>
      </c>
      <c r="E554" s="5" t="s">
        <v>58</v>
      </c>
      <c r="F554" s="5" t="s">
        <v>96</v>
      </c>
      <c r="G554" s="5" t="n">
        <v>4417</v>
      </c>
      <c r="H554" s="12" t="n">
        <v>2.1</v>
      </c>
      <c r="I554" s="12" t="n">
        <v>9275.7</v>
      </c>
      <c r="J554" s="12" t="n">
        <v>4063.64</v>
      </c>
      <c r="K554" s="12" t="n">
        <f aca="false">I554-J554</f>
        <v>5212.06</v>
      </c>
    </row>
    <row r="555" customFormat="false" ht="15" hidden="false" customHeight="false" outlineLevel="0" collapsed="false">
      <c r="A555" s="11" t="n">
        <v>46160</v>
      </c>
      <c r="B555" s="5" t="s">
        <v>639</v>
      </c>
      <c r="C555" s="5" t="s">
        <v>87</v>
      </c>
      <c r="D555" s="5" t="s">
        <v>64</v>
      </c>
      <c r="E555" s="5" t="s">
        <v>58</v>
      </c>
      <c r="F555" s="5" t="s">
        <v>61</v>
      </c>
      <c r="G555" s="5" t="n">
        <v>701</v>
      </c>
      <c r="H555" s="12" t="n">
        <v>24.5</v>
      </c>
      <c r="I555" s="12" t="n">
        <v>17174.5</v>
      </c>
      <c r="J555" s="12" t="n">
        <v>8271.8</v>
      </c>
      <c r="K555" s="12" t="n">
        <f aca="false">I555-J555</f>
        <v>8902.7</v>
      </c>
    </row>
    <row r="556" customFormat="false" ht="15" hidden="false" customHeight="false" outlineLevel="0" collapsed="false">
      <c r="A556" s="11" t="n">
        <v>46160</v>
      </c>
      <c r="B556" s="5" t="s">
        <v>640</v>
      </c>
      <c r="C556" s="5" t="s">
        <v>99</v>
      </c>
      <c r="D556" s="5" t="s">
        <v>69</v>
      </c>
      <c r="E556" s="5" t="s">
        <v>75</v>
      </c>
      <c r="F556" s="5" t="s">
        <v>83</v>
      </c>
      <c r="G556" s="5" t="n">
        <v>476</v>
      </c>
      <c r="H556" s="12" t="n">
        <v>4.03</v>
      </c>
      <c r="I556" s="12" t="n">
        <v>1918.28</v>
      </c>
      <c r="J556" s="12" t="n">
        <v>880.6</v>
      </c>
      <c r="K556" s="12" t="n">
        <f aca="false">I556-J556</f>
        <v>1037.68</v>
      </c>
    </row>
    <row r="557" customFormat="false" ht="15" hidden="false" customHeight="false" outlineLevel="0" collapsed="false">
      <c r="A557" s="11" t="n">
        <v>46160</v>
      </c>
      <c r="B557" s="5" t="s">
        <v>641</v>
      </c>
      <c r="C557" s="5" t="s">
        <v>68</v>
      </c>
      <c r="D557" s="5" t="s">
        <v>69</v>
      </c>
      <c r="E557" s="5" t="s">
        <v>75</v>
      </c>
      <c r="F557" s="5" t="s">
        <v>83</v>
      </c>
      <c r="G557" s="5" t="n">
        <v>131</v>
      </c>
      <c r="H557" s="12" t="n">
        <v>4.2</v>
      </c>
      <c r="I557" s="12" t="n">
        <v>550.2</v>
      </c>
      <c r="J557" s="12" t="n">
        <v>242.35</v>
      </c>
      <c r="K557" s="12" t="n">
        <f aca="false">I557-J557</f>
        <v>307.85</v>
      </c>
    </row>
    <row r="558" customFormat="false" ht="15" hidden="false" customHeight="false" outlineLevel="0" collapsed="false">
      <c r="A558" s="11" t="n">
        <v>46160</v>
      </c>
      <c r="B558" s="5" t="s">
        <v>642</v>
      </c>
      <c r="C558" s="5" t="s">
        <v>99</v>
      </c>
      <c r="D558" s="5" t="s">
        <v>69</v>
      </c>
      <c r="E558" s="5" t="s">
        <v>65</v>
      </c>
      <c r="F558" s="5" t="s">
        <v>88</v>
      </c>
      <c r="G558" s="5" t="n">
        <v>456</v>
      </c>
      <c r="H558" s="12" t="n">
        <v>11.04</v>
      </c>
      <c r="I558" s="12" t="n">
        <v>5034.24</v>
      </c>
      <c r="J558" s="12" t="n">
        <v>2325.6</v>
      </c>
      <c r="K558" s="12" t="n">
        <f aca="false">I558-J558</f>
        <v>2708.64</v>
      </c>
    </row>
    <row r="559" customFormat="false" ht="15" hidden="false" customHeight="false" outlineLevel="0" collapsed="false">
      <c r="A559" s="11" t="n">
        <v>46160</v>
      </c>
      <c r="B559" s="5" t="s">
        <v>643</v>
      </c>
      <c r="C559" s="5" t="s">
        <v>68</v>
      </c>
      <c r="D559" s="5" t="s">
        <v>69</v>
      </c>
      <c r="E559" s="5" t="s">
        <v>70</v>
      </c>
      <c r="F559" s="5" t="s">
        <v>90</v>
      </c>
      <c r="G559" s="5" t="n">
        <v>868</v>
      </c>
      <c r="H559" s="12" t="n">
        <v>2.7</v>
      </c>
      <c r="I559" s="12" t="n">
        <v>2343.6</v>
      </c>
      <c r="J559" s="12" t="n">
        <v>1041.6</v>
      </c>
      <c r="K559" s="12" t="n">
        <f aca="false">I559-J559</f>
        <v>1302</v>
      </c>
    </row>
    <row r="560" customFormat="false" ht="15" hidden="false" customHeight="false" outlineLevel="0" collapsed="false">
      <c r="A560" s="11" t="n">
        <v>46161</v>
      </c>
      <c r="B560" s="5" t="s">
        <v>644</v>
      </c>
      <c r="C560" s="5" t="s">
        <v>63</v>
      </c>
      <c r="D560" s="5" t="s">
        <v>64</v>
      </c>
      <c r="E560" s="5" t="s">
        <v>58</v>
      </c>
      <c r="F560" s="5" t="s">
        <v>117</v>
      </c>
      <c r="G560" s="5" t="n">
        <v>4827</v>
      </c>
      <c r="H560" s="12" t="n">
        <v>3.4</v>
      </c>
      <c r="I560" s="12" t="n">
        <v>16411.8</v>
      </c>
      <c r="J560" s="12" t="n">
        <v>6999.15</v>
      </c>
      <c r="K560" s="12" t="n">
        <f aca="false">I560-J560</f>
        <v>9412.65</v>
      </c>
    </row>
    <row r="561" customFormat="false" ht="15" hidden="false" customHeight="false" outlineLevel="0" collapsed="false">
      <c r="A561" s="11" t="n">
        <v>46161</v>
      </c>
      <c r="B561" s="5" t="s">
        <v>645</v>
      </c>
      <c r="C561" s="5" t="s">
        <v>115</v>
      </c>
      <c r="D561" s="5" t="s">
        <v>69</v>
      </c>
      <c r="E561" s="5" t="s">
        <v>58</v>
      </c>
      <c r="F561" s="5" t="s">
        <v>96</v>
      </c>
      <c r="G561" s="5" t="n">
        <v>4315</v>
      </c>
      <c r="H561" s="12" t="n">
        <v>2.1</v>
      </c>
      <c r="I561" s="12" t="n">
        <v>9061.5</v>
      </c>
      <c r="J561" s="12" t="n">
        <v>3969.8</v>
      </c>
      <c r="K561" s="12" t="n">
        <f aca="false">I561-J561</f>
        <v>5091.7</v>
      </c>
    </row>
    <row r="562" customFormat="false" ht="15" hidden="false" customHeight="false" outlineLevel="0" collapsed="false">
      <c r="A562" s="11" t="n">
        <v>46161</v>
      </c>
      <c r="B562" s="5" t="s">
        <v>646</v>
      </c>
      <c r="C562" s="5" t="s">
        <v>68</v>
      </c>
      <c r="D562" s="5" t="s">
        <v>69</v>
      </c>
      <c r="E562" s="5" t="s">
        <v>58</v>
      </c>
      <c r="F562" s="5" t="s">
        <v>117</v>
      </c>
      <c r="G562" s="5" t="n">
        <v>1773</v>
      </c>
      <c r="H562" s="12" t="n">
        <v>3.4</v>
      </c>
      <c r="I562" s="12" t="n">
        <v>6028.2</v>
      </c>
      <c r="J562" s="12" t="n">
        <v>2570.85</v>
      </c>
      <c r="K562" s="12" t="n">
        <f aca="false">I562-J562</f>
        <v>3457.35</v>
      </c>
    </row>
    <row r="563" customFormat="false" ht="15" hidden="false" customHeight="false" outlineLevel="0" collapsed="false">
      <c r="A563" s="11" t="n">
        <v>46161</v>
      </c>
      <c r="B563" s="5" t="s">
        <v>647</v>
      </c>
      <c r="C563" s="5" t="s">
        <v>81</v>
      </c>
      <c r="D563" s="5" t="s">
        <v>64</v>
      </c>
      <c r="E563" s="5" t="s">
        <v>75</v>
      </c>
      <c r="F563" s="5" t="s">
        <v>78</v>
      </c>
      <c r="G563" s="5" t="n">
        <v>336</v>
      </c>
      <c r="H563" s="12" t="n">
        <v>6.1</v>
      </c>
      <c r="I563" s="12" t="n">
        <v>2049.6</v>
      </c>
      <c r="J563" s="12" t="n">
        <v>873.6</v>
      </c>
      <c r="K563" s="12" t="n">
        <f aca="false">I563-J563</f>
        <v>1176</v>
      </c>
    </row>
    <row r="564" customFormat="false" ht="15" hidden="false" customHeight="false" outlineLevel="0" collapsed="false">
      <c r="A564" s="11" t="n">
        <v>46161</v>
      </c>
      <c r="B564" s="5" t="s">
        <v>648</v>
      </c>
      <c r="C564" s="5" t="s">
        <v>73</v>
      </c>
      <c r="D564" s="5" t="s">
        <v>64</v>
      </c>
      <c r="E564" s="5" t="s">
        <v>75</v>
      </c>
      <c r="F564" s="5" t="s">
        <v>76</v>
      </c>
      <c r="G564" s="5" t="n">
        <v>186</v>
      </c>
      <c r="H564" s="12" t="n">
        <v>4.61</v>
      </c>
      <c r="I564" s="12" t="n">
        <v>857.46</v>
      </c>
      <c r="J564" s="12" t="n">
        <v>381.3</v>
      </c>
      <c r="K564" s="12" t="n">
        <f aca="false">I564-J564</f>
        <v>476.16</v>
      </c>
    </row>
    <row r="565" customFormat="false" ht="15" hidden="false" customHeight="false" outlineLevel="0" collapsed="false">
      <c r="A565" s="11" t="n">
        <v>46161</v>
      </c>
      <c r="B565" s="5" t="s">
        <v>649</v>
      </c>
      <c r="C565" s="5" t="s">
        <v>85</v>
      </c>
      <c r="D565" s="5" t="s">
        <v>69</v>
      </c>
      <c r="E565" s="5" t="s">
        <v>75</v>
      </c>
      <c r="F565" s="5" t="s">
        <v>83</v>
      </c>
      <c r="G565" s="5" t="n">
        <v>80</v>
      </c>
      <c r="H565" s="12" t="n">
        <v>4.2</v>
      </c>
      <c r="I565" s="12" t="n">
        <v>336</v>
      </c>
      <c r="J565" s="12" t="n">
        <v>148</v>
      </c>
      <c r="K565" s="12" t="n">
        <f aca="false">I565-J565</f>
        <v>188</v>
      </c>
    </row>
    <row r="566" customFormat="false" ht="15" hidden="false" customHeight="false" outlineLevel="0" collapsed="false">
      <c r="A566" s="11" t="n">
        <v>46161</v>
      </c>
      <c r="B566" s="5" t="s">
        <v>650</v>
      </c>
      <c r="C566" s="5" t="s">
        <v>81</v>
      </c>
      <c r="D566" s="5" t="s">
        <v>64</v>
      </c>
      <c r="E566" s="5" t="s">
        <v>70</v>
      </c>
      <c r="F566" s="5" t="s">
        <v>71</v>
      </c>
      <c r="G566" s="5" t="n">
        <v>2191</v>
      </c>
      <c r="H566" s="12" t="n">
        <v>2.95</v>
      </c>
      <c r="I566" s="12" t="n">
        <v>6463.45</v>
      </c>
      <c r="J566" s="12" t="n">
        <v>2848.3</v>
      </c>
      <c r="K566" s="12" t="n">
        <f aca="false">I566-J566</f>
        <v>3615.15</v>
      </c>
    </row>
    <row r="567" customFormat="false" ht="15" hidden="false" customHeight="false" outlineLevel="0" collapsed="false">
      <c r="A567" s="11" t="n">
        <v>46162</v>
      </c>
      <c r="B567" s="5" t="s">
        <v>651</v>
      </c>
      <c r="C567" s="5" t="s">
        <v>68</v>
      </c>
      <c r="D567" s="5" t="s">
        <v>69</v>
      </c>
      <c r="E567" s="5" t="s">
        <v>75</v>
      </c>
      <c r="F567" s="5" t="s">
        <v>76</v>
      </c>
      <c r="G567" s="5" t="n">
        <v>115</v>
      </c>
      <c r="H567" s="12" t="n">
        <v>4.8</v>
      </c>
      <c r="I567" s="12" t="n">
        <v>552</v>
      </c>
      <c r="J567" s="12" t="n">
        <v>235.75</v>
      </c>
      <c r="K567" s="12" t="n">
        <f aca="false">I567-J567</f>
        <v>316.25</v>
      </c>
    </row>
    <row r="568" customFormat="false" ht="15" hidden="false" customHeight="false" outlineLevel="0" collapsed="false">
      <c r="A568" s="11" t="n">
        <v>46162</v>
      </c>
      <c r="B568" s="5" t="s">
        <v>652</v>
      </c>
      <c r="C568" s="5" t="s">
        <v>85</v>
      </c>
      <c r="D568" s="5" t="s">
        <v>69</v>
      </c>
      <c r="E568" s="5" t="s">
        <v>65</v>
      </c>
      <c r="F568" s="5" t="s">
        <v>103</v>
      </c>
      <c r="G568" s="5" t="n">
        <v>81</v>
      </c>
      <c r="H568" s="12" t="n">
        <v>15.2</v>
      </c>
      <c r="I568" s="12" t="n">
        <v>1231.2</v>
      </c>
      <c r="J568" s="12" t="n">
        <v>550.8</v>
      </c>
      <c r="K568" s="12" t="n">
        <f aca="false">I568-J568</f>
        <v>680.4</v>
      </c>
    </row>
    <row r="569" customFormat="false" ht="15" hidden="false" customHeight="false" outlineLevel="0" collapsed="false">
      <c r="A569" s="11" t="n">
        <v>46162</v>
      </c>
      <c r="B569" s="5" t="s">
        <v>653</v>
      </c>
      <c r="C569" s="5" t="s">
        <v>99</v>
      </c>
      <c r="D569" s="5" t="s">
        <v>69</v>
      </c>
      <c r="E569" s="5" t="s">
        <v>70</v>
      </c>
      <c r="F569" s="5" t="s">
        <v>71</v>
      </c>
      <c r="G569" s="5" t="n">
        <v>1312</v>
      </c>
      <c r="H569" s="12" t="n">
        <v>2.83</v>
      </c>
      <c r="I569" s="12" t="n">
        <v>3712.96</v>
      </c>
      <c r="J569" s="12" t="n">
        <v>1705.6</v>
      </c>
      <c r="K569" s="12" t="n">
        <f aca="false">I569-J569</f>
        <v>2007.36</v>
      </c>
    </row>
    <row r="570" customFormat="false" ht="15" hidden="false" customHeight="false" outlineLevel="0" collapsed="false">
      <c r="A570" s="11" t="n">
        <v>46162</v>
      </c>
      <c r="B570" s="5" t="s">
        <v>654</v>
      </c>
      <c r="C570" s="5" t="s">
        <v>99</v>
      </c>
      <c r="D570" s="5" t="s">
        <v>69</v>
      </c>
      <c r="E570" s="5" t="s">
        <v>70</v>
      </c>
      <c r="F570" s="5" t="s">
        <v>71</v>
      </c>
      <c r="G570" s="5" t="n">
        <v>1312</v>
      </c>
      <c r="H570" s="12" t="n">
        <v>2.83</v>
      </c>
      <c r="I570" s="12" t="n">
        <v>3712.96</v>
      </c>
      <c r="J570" s="12" t="n">
        <v>1705.6</v>
      </c>
      <c r="K570" s="12" t="n">
        <f aca="false">I570-J570</f>
        <v>2007.36</v>
      </c>
    </row>
    <row r="571" customFormat="false" ht="15" hidden="false" customHeight="false" outlineLevel="0" collapsed="false">
      <c r="A571" s="11" t="n">
        <v>46163</v>
      </c>
      <c r="B571" s="5" t="s">
        <v>655</v>
      </c>
      <c r="C571" s="5" t="s">
        <v>81</v>
      </c>
      <c r="D571" s="5" t="s">
        <v>64</v>
      </c>
      <c r="E571" s="5" t="s">
        <v>75</v>
      </c>
      <c r="F571" s="5" t="s">
        <v>76</v>
      </c>
      <c r="G571" s="5" t="n">
        <v>428</v>
      </c>
      <c r="H571" s="12" t="n">
        <v>4.8</v>
      </c>
      <c r="I571" s="12" t="n">
        <v>2054.4</v>
      </c>
      <c r="J571" s="12" t="n">
        <v>877.4</v>
      </c>
      <c r="K571" s="12" t="n">
        <f aca="false">I571-J571</f>
        <v>1177</v>
      </c>
    </row>
    <row r="572" customFormat="false" ht="15" hidden="false" customHeight="false" outlineLevel="0" collapsed="false">
      <c r="A572" s="11" t="n">
        <v>46163</v>
      </c>
      <c r="B572" s="5" t="s">
        <v>656</v>
      </c>
      <c r="C572" s="5" t="s">
        <v>81</v>
      </c>
      <c r="D572" s="5" t="s">
        <v>64</v>
      </c>
      <c r="E572" s="5" t="s">
        <v>75</v>
      </c>
      <c r="F572" s="5" t="s">
        <v>76</v>
      </c>
      <c r="G572" s="5" t="n">
        <v>428</v>
      </c>
      <c r="H572" s="12" t="n">
        <v>4.8</v>
      </c>
      <c r="I572" s="12" t="n">
        <v>2054.4</v>
      </c>
      <c r="J572" s="12" t="n">
        <v>877.4</v>
      </c>
      <c r="K572" s="12" t="n">
        <f aca="false">I572-J572</f>
        <v>1177</v>
      </c>
    </row>
    <row r="573" customFormat="false" ht="15" hidden="false" customHeight="false" outlineLevel="0" collapsed="false">
      <c r="A573" s="11" t="n">
        <v>46163</v>
      </c>
      <c r="B573" s="5" t="s">
        <v>657</v>
      </c>
      <c r="C573" s="5" t="s">
        <v>73</v>
      </c>
      <c r="D573" s="5" t="s">
        <v>64</v>
      </c>
      <c r="E573" s="5" t="s">
        <v>75</v>
      </c>
      <c r="F573" s="5" t="s">
        <v>76</v>
      </c>
      <c r="G573" s="5" t="n">
        <v>186</v>
      </c>
      <c r="H573" s="12" t="n">
        <v>4.61</v>
      </c>
      <c r="I573" s="12" t="n">
        <v>857.46</v>
      </c>
      <c r="J573" s="12" t="n">
        <v>381.3</v>
      </c>
      <c r="K573" s="12" t="n">
        <f aca="false">I573-J573</f>
        <v>476.16</v>
      </c>
    </row>
    <row r="574" customFormat="false" ht="15" hidden="false" customHeight="false" outlineLevel="0" collapsed="false">
      <c r="A574" s="11" t="n">
        <v>46163</v>
      </c>
      <c r="B574" s="5" t="s">
        <v>658</v>
      </c>
      <c r="C574" s="5" t="s">
        <v>87</v>
      </c>
      <c r="D574" s="5" t="s">
        <v>64</v>
      </c>
      <c r="E574" s="5" t="s">
        <v>70</v>
      </c>
      <c r="F574" s="5" t="s">
        <v>90</v>
      </c>
      <c r="G574" s="5" t="n">
        <v>2023</v>
      </c>
      <c r="H574" s="12" t="n">
        <v>2.7</v>
      </c>
      <c r="I574" s="12" t="n">
        <v>5462.1</v>
      </c>
      <c r="J574" s="12" t="n">
        <v>2427.6</v>
      </c>
      <c r="K574" s="12" t="n">
        <f aca="false">I574-J574</f>
        <v>3034.5</v>
      </c>
    </row>
    <row r="575" customFormat="false" ht="15" hidden="false" customHeight="false" outlineLevel="0" collapsed="false">
      <c r="A575" s="11" t="n">
        <v>46163</v>
      </c>
      <c r="B575" s="5" t="s">
        <v>659</v>
      </c>
      <c r="C575" s="5" t="s">
        <v>68</v>
      </c>
      <c r="D575" s="5" t="s">
        <v>69</v>
      </c>
      <c r="E575" s="5" t="s">
        <v>70</v>
      </c>
      <c r="F575" s="5" t="s">
        <v>92</v>
      </c>
      <c r="G575" s="5" t="n">
        <v>976</v>
      </c>
      <c r="H575" s="12" t="n">
        <v>2.4</v>
      </c>
      <c r="I575" s="12" t="n">
        <v>2342.4</v>
      </c>
      <c r="J575" s="12" t="n">
        <v>927.2</v>
      </c>
      <c r="K575" s="12" t="n">
        <f aca="false">I575-J575</f>
        <v>1415.2</v>
      </c>
    </row>
    <row r="576" customFormat="false" ht="15" hidden="false" customHeight="false" outlineLevel="0" collapsed="false">
      <c r="A576" s="11" t="n">
        <v>46164</v>
      </c>
      <c r="B576" s="5" t="s">
        <v>660</v>
      </c>
      <c r="C576" s="5" t="s">
        <v>85</v>
      </c>
      <c r="D576" s="5" t="s">
        <v>69</v>
      </c>
      <c r="E576" s="5" t="s">
        <v>75</v>
      </c>
      <c r="F576" s="5" t="s">
        <v>78</v>
      </c>
      <c r="G576" s="5" t="n">
        <v>55</v>
      </c>
      <c r="H576" s="12" t="n">
        <v>6.1</v>
      </c>
      <c r="I576" s="12" t="n">
        <v>335.5</v>
      </c>
      <c r="J576" s="12" t="n">
        <v>143</v>
      </c>
      <c r="K576" s="12" t="n">
        <f aca="false">I576-J576</f>
        <v>192.5</v>
      </c>
    </row>
    <row r="577" customFormat="false" ht="15" hidden="false" customHeight="false" outlineLevel="0" collapsed="false">
      <c r="A577" s="11" t="n">
        <v>46164</v>
      </c>
      <c r="B577" s="5" t="s">
        <v>661</v>
      </c>
      <c r="C577" s="5" t="s">
        <v>56</v>
      </c>
      <c r="D577" s="5" t="s">
        <v>57</v>
      </c>
      <c r="E577" s="5" t="s">
        <v>75</v>
      </c>
      <c r="F577" s="5" t="s">
        <v>78</v>
      </c>
      <c r="G577" s="5" t="n">
        <v>167</v>
      </c>
      <c r="H577" s="12" t="n">
        <v>6.1</v>
      </c>
      <c r="I577" s="12" t="n">
        <v>1018.7</v>
      </c>
      <c r="J577" s="12" t="n">
        <v>434.2</v>
      </c>
      <c r="K577" s="12" t="n">
        <f aca="false">I577-J577</f>
        <v>584.5</v>
      </c>
    </row>
    <row r="578" customFormat="false" ht="15" hidden="false" customHeight="false" outlineLevel="0" collapsed="false">
      <c r="A578" s="11" t="n">
        <v>46164</v>
      </c>
      <c r="B578" s="5" t="s">
        <v>662</v>
      </c>
      <c r="C578" s="5" t="s">
        <v>85</v>
      </c>
      <c r="D578" s="5" t="s">
        <v>69</v>
      </c>
      <c r="E578" s="5" t="s">
        <v>65</v>
      </c>
      <c r="F578" s="5" t="s">
        <v>88</v>
      </c>
      <c r="G578" s="5" t="n">
        <v>107</v>
      </c>
      <c r="H578" s="12" t="n">
        <v>11.5</v>
      </c>
      <c r="I578" s="12" t="n">
        <v>1230.5</v>
      </c>
      <c r="J578" s="12" t="n">
        <v>545.7</v>
      </c>
      <c r="K578" s="12" t="n">
        <f aca="false">I578-J578</f>
        <v>684.8</v>
      </c>
    </row>
    <row r="579" customFormat="false" ht="15" hidden="false" customHeight="false" outlineLevel="0" collapsed="false">
      <c r="A579" s="11" t="n">
        <v>46164</v>
      </c>
      <c r="B579" s="5" t="s">
        <v>663</v>
      </c>
      <c r="C579" s="5" t="s">
        <v>56</v>
      </c>
      <c r="D579" s="5" t="s">
        <v>57</v>
      </c>
      <c r="E579" s="5" t="s">
        <v>65</v>
      </c>
      <c r="F579" s="5" t="s">
        <v>88</v>
      </c>
      <c r="G579" s="5" t="n">
        <v>540</v>
      </c>
      <c r="H579" s="12" t="n">
        <v>11.5</v>
      </c>
      <c r="I579" s="12" t="n">
        <v>6210</v>
      </c>
      <c r="J579" s="12" t="n">
        <v>2754</v>
      </c>
      <c r="K579" s="12" t="n">
        <f aca="false">I579-J579</f>
        <v>3456</v>
      </c>
    </row>
    <row r="580" customFormat="false" ht="15" hidden="false" customHeight="false" outlineLevel="0" collapsed="false">
      <c r="A580" s="11" t="n">
        <v>46165</v>
      </c>
      <c r="B580" s="5" t="s">
        <v>664</v>
      </c>
      <c r="C580" s="5" t="s">
        <v>99</v>
      </c>
      <c r="D580" s="5" t="s">
        <v>69</v>
      </c>
      <c r="E580" s="5" t="s">
        <v>58</v>
      </c>
      <c r="F580" s="5" t="s">
        <v>61</v>
      </c>
      <c r="G580" s="5" t="n">
        <v>390</v>
      </c>
      <c r="H580" s="12" t="n">
        <v>23.52</v>
      </c>
      <c r="I580" s="12" t="n">
        <v>9172.8</v>
      </c>
      <c r="J580" s="12" t="n">
        <v>4602</v>
      </c>
      <c r="K580" s="12" t="n">
        <f aca="false">I580-J580</f>
        <v>4570.8</v>
      </c>
    </row>
    <row r="581" customFormat="false" ht="15" hidden="false" customHeight="false" outlineLevel="0" collapsed="false">
      <c r="A581" s="11" t="n">
        <v>46165</v>
      </c>
      <c r="B581" s="5" t="s">
        <v>665</v>
      </c>
      <c r="C581" s="5" t="s">
        <v>73</v>
      </c>
      <c r="D581" s="5" t="s">
        <v>64</v>
      </c>
      <c r="E581" s="5" t="s">
        <v>58</v>
      </c>
      <c r="F581" s="5" t="s">
        <v>96</v>
      </c>
      <c r="G581" s="5" t="n">
        <v>3415</v>
      </c>
      <c r="H581" s="12" t="n">
        <v>2.02</v>
      </c>
      <c r="I581" s="12" t="n">
        <v>6898.3</v>
      </c>
      <c r="J581" s="12" t="n">
        <v>3141.8</v>
      </c>
      <c r="K581" s="12" t="n">
        <f aca="false">I581-J581</f>
        <v>3756.5</v>
      </c>
    </row>
    <row r="582" customFormat="false" ht="15" hidden="false" customHeight="false" outlineLevel="0" collapsed="false">
      <c r="A582" s="11" t="n">
        <v>46165</v>
      </c>
      <c r="B582" s="5" t="s">
        <v>666</v>
      </c>
      <c r="C582" s="5" t="s">
        <v>56</v>
      </c>
      <c r="D582" s="5" t="s">
        <v>57</v>
      </c>
      <c r="E582" s="5" t="s">
        <v>70</v>
      </c>
      <c r="F582" s="5" t="s">
        <v>90</v>
      </c>
      <c r="G582" s="5" t="n">
        <v>1685</v>
      </c>
      <c r="H582" s="12" t="n">
        <v>2.7</v>
      </c>
      <c r="I582" s="12" t="n">
        <v>4549.5</v>
      </c>
      <c r="J582" s="12" t="n">
        <v>2022</v>
      </c>
      <c r="K582" s="12" t="n">
        <f aca="false">I582-J582</f>
        <v>2527.5</v>
      </c>
    </row>
    <row r="583" customFormat="false" ht="15" hidden="false" customHeight="false" outlineLevel="0" collapsed="false">
      <c r="A583" s="11" t="n">
        <v>46166</v>
      </c>
      <c r="B583" s="5" t="s">
        <v>667</v>
      </c>
      <c r="C583" s="5" t="s">
        <v>94</v>
      </c>
      <c r="D583" s="5" t="s">
        <v>95</v>
      </c>
      <c r="E583" s="5" t="s">
        <v>58</v>
      </c>
      <c r="F583" s="5" t="s">
        <v>61</v>
      </c>
      <c r="G583" s="5" t="n">
        <v>378</v>
      </c>
      <c r="H583" s="12" t="n">
        <v>24.5</v>
      </c>
      <c r="I583" s="12" t="n">
        <v>9261</v>
      </c>
      <c r="J583" s="12" t="n">
        <v>4460.4</v>
      </c>
      <c r="K583" s="12" t="n">
        <f aca="false">I583-J583</f>
        <v>4800.6</v>
      </c>
    </row>
    <row r="584" customFormat="false" ht="15" hidden="false" customHeight="false" outlineLevel="0" collapsed="false">
      <c r="A584" s="11" t="n">
        <v>46166</v>
      </c>
      <c r="B584" s="5" t="s">
        <v>668</v>
      </c>
      <c r="C584" s="5" t="s">
        <v>68</v>
      </c>
      <c r="D584" s="5" t="s">
        <v>69</v>
      </c>
      <c r="E584" s="5" t="s">
        <v>58</v>
      </c>
      <c r="F584" s="5" t="s">
        <v>117</v>
      </c>
      <c r="G584" s="5" t="n">
        <v>1773</v>
      </c>
      <c r="H584" s="12" t="n">
        <v>3.4</v>
      </c>
      <c r="I584" s="12" t="n">
        <v>6028.2</v>
      </c>
      <c r="J584" s="12" t="n">
        <v>2570.85</v>
      </c>
      <c r="K584" s="12" t="n">
        <f aca="false">I584-J584</f>
        <v>3457.35</v>
      </c>
    </row>
    <row r="585" customFormat="false" ht="15" hidden="false" customHeight="false" outlineLevel="0" collapsed="false">
      <c r="A585" s="11" t="n">
        <v>46166</v>
      </c>
      <c r="B585" s="5" t="s">
        <v>669</v>
      </c>
      <c r="C585" s="5" t="s">
        <v>63</v>
      </c>
      <c r="D585" s="5" t="s">
        <v>64</v>
      </c>
      <c r="E585" s="5" t="s">
        <v>65</v>
      </c>
      <c r="F585" s="5" t="s">
        <v>103</v>
      </c>
      <c r="G585" s="5" t="n">
        <v>350</v>
      </c>
      <c r="H585" s="12" t="n">
        <v>15.2</v>
      </c>
      <c r="I585" s="12" t="n">
        <v>5320</v>
      </c>
      <c r="J585" s="12" t="n">
        <v>2380</v>
      </c>
      <c r="K585" s="12" t="n">
        <f aca="false">I585-J585</f>
        <v>2940</v>
      </c>
    </row>
    <row r="586" customFormat="false" ht="15" hidden="false" customHeight="false" outlineLevel="0" collapsed="false">
      <c r="A586" s="11" t="n">
        <v>46166</v>
      </c>
      <c r="B586" s="5" t="s">
        <v>670</v>
      </c>
      <c r="C586" s="5" t="s">
        <v>94</v>
      </c>
      <c r="D586" s="5" t="s">
        <v>95</v>
      </c>
      <c r="E586" s="5" t="s">
        <v>65</v>
      </c>
      <c r="F586" s="5" t="s">
        <v>88</v>
      </c>
      <c r="G586" s="5" t="n">
        <v>230</v>
      </c>
      <c r="H586" s="12" t="n">
        <v>11.5</v>
      </c>
      <c r="I586" s="12" t="n">
        <v>2645</v>
      </c>
      <c r="J586" s="12" t="n">
        <v>1173</v>
      </c>
      <c r="K586" s="12" t="n">
        <f aca="false">I586-J586</f>
        <v>1472</v>
      </c>
    </row>
    <row r="587" customFormat="false" ht="15" hidden="false" customHeight="false" outlineLevel="0" collapsed="false">
      <c r="A587" s="11" t="n">
        <v>46166</v>
      </c>
      <c r="B587" s="5" t="s">
        <v>671</v>
      </c>
      <c r="C587" s="5" t="s">
        <v>56</v>
      </c>
      <c r="D587" s="5" t="s">
        <v>57</v>
      </c>
      <c r="E587" s="5" t="s">
        <v>65</v>
      </c>
      <c r="F587" s="5" t="s">
        <v>66</v>
      </c>
      <c r="G587" s="5" t="n">
        <v>249</v>
      </c>
      <c r="H587" s="12" t="n">
        <v>24.9</v>
      </c>
      <c r="I587" s="12" t="n">
        <v>6200.1</v>
      </c>
      <c r="J587" s="12" t="n">
        <v>2838.6</v>
      </c>
      <c r="K587" s="12" t="n">
        <f aca="false">I587-J587</f>
        <v>3361.5</v>
      </c>
    </row>
    <row r="588" customFormat="false" ht="15" hidden="false" customHeight="false" outlineLevel="0" collapsed="false">
      <c r="A588" s="11" t="n">
        <v>46166</v>
      </c>
      <c r="B588" s="5" t="s">
        <v>672</v>
      </c>
      <c r="C588" s="5" t="s">
        <v>94</v>
      </c>
      <c r="D588" s="5" t="s">
        <v>95</v>
      </c>
      <c r="E588" s="5" t="s">
        <v>70</v>
      </c>
      <c r="F588" s="5" t="s">
        <v>90</v>
      </c>
      <c r="G588" s="5" t="n">
        <v>1727</v>
      </c>
      <c r="H588" s="12" t="n">
        <v>2.7</v>
      </c>
      <c r="I588" s="12" t="n">
        <v>4662.9</v>
      </c>
      <c r="J588" s="12" t="n">
        <v>2072.4</v>
      </c>
      <c r="K588" s="12" t="n">
        <f aca="false">I588-J588</f>
        <v>2590.5</v>
      </c>
    </row>
    <row r="589" customFormat="false" ht="15" hidden="false" customHeight="false" outlineLevel="0" collapsed="false">
      <c r="A589" s="11" t="n">
        <v>46166</v>
      </c>
      <c r="B589" s="5" t="s">
        <v>673</v>
      </c>
      <c r="C589" s="5" t="s">
        <v>94</v>
      </c>
      <c r="D589" s="5" t="s">
        <v>95</v>
      </c>
      <c r="E589" s="5" t="s">
        <v>70</v>
      </c>
      <c r="F589" s="5" t="s">
        <v>90</v>
      </c>
      <c r="G589" s="5" t="n">
        <v>1727</v>
      </c>
      <c r="H589" s="12" t="n">
        <v>2.7</v>
      </c>
      <c r="I589" s="12" t="n">
        <v>4662.9</v>
      </c>
      <c r="J589" s="12" t="n">
        <v>2072.4</v>
      </c>
      <c r="K589" s="12" t="n">
        <f aca="false">I589-J589</f>
        <v>2590.5</v>
      </c>
    </row>
    <row r="590" customFormat="false" ht="15" hidden="false" customHeight="false" outlineLevel="0" collapsed="false">
      <c r="A590" s="11" t="n">
        <v>46166</v>
      </c>
      <c r="B590" s="5" t="s">
        <v>674</v>
      </c>
      <c r="C590" s="5" t="s">
        <v>115</v>
      </c>
      <c r="D590" s="5" t="s">
        <v>69</v>
      </c>
      <c r="E590" s="5" t="s">
        <v>70</v>
      </c>
      <c r="F590" s="5" t="s">
        <v>92</v>
      </c>
      <c r="G590" s="5" t="n">
        <v>1041</v>
      </c>
      <c r="H590" s="12" t="n">
        <v>2.4</v>
      </c>
      <c r="I590" s="12" t="n">
        <v>2498.4</v>
      </c>
      <c r="J590" s="12" t="n">
        <v>988.95</v>
      </c>
      <c r="K590" s="12" t="n">
        <f aca="false">I590-J590</f>
        <v>1509.45</v>
      </c>
    </row>
    <row r="591" customFormat="false" ht="15" hidden="false" customHeight="false" outlineLevel="0" collapsed="false">
      <c r="A591" s="11" t="n">
        <v>46167</v>
      </c>
      <c r="B591" s="5" t="s">
        <v>675</v>
      </c>
      <c r="C591" s="5" t="s">
        <v>73</v>
      </c>
      <c r="D591" s="5" t="s">
        <v>64</v>
      </c>
      <c r="E591" s="5" t="s">
        <v>58</v>
      </c>
      <c r="F591" s="5" t="s">
        <v>59</v>
      </c>
      <c r="G591" s="5" t="n">
        <v>1844</v>
      </c>
      <c r="H591" s="12" t="n">
        <v>3.74</v>
      </c>
      <c r="I591" s="12" t="n">
        <v>6896.56</v>
      </c>
      <c r="J591" s="12" t="n">
        <v>3134.8</v>
      </c>
      <c r="K591" s="12" t="n">
        <f aca="false">I591-J591</f>
        <v>3761.76</v>
      </c>
    </row>
    <row r="592" customFormat="false" ht="15" hidden="false" customHeight="false" outlineLevel="0" collapsed="false">
      <c r="A592" s="11" t="n">
        <v>46167</v>
      </c>
      <c r="B592" s="5" t="s">
        <v>676</v>
      </c>
      <c r="C592" s="5" t="s">
        <v>87</v>
      </c>
      <c r="D592" s="5" t="s">
        <v>64</v>
      </c>
      <c r="E592" s="5" t="s">
        <v>65</v>
      </c>
      <c r="F592" s="5" t="s">
        <v>103</v>
      </c>
      <c r="G592" s="5" t="n">
        <v>331</v>
      </c>
      <c r="H592" s="12" t="n">
        <v>15.2</v>
      </c>
      <c r="I592" s="12" t="n">
        <v>5031.2</v>
      </c>
      <c r="J592" s="12" t="n">
        <v>2250.8</v>
      </c>
      <c r="K592" s="12" t="n">
        <f aca="false">I592-J592</f>
        <v>2780.4</v>
      </c>
    </row>
    <row r="593" customFormat="false" ht="15" hidden="false" customHeight="false" outlineLevel="0" collapsed="false">
      <c r="A593" s="11" t="n">
        <v>46167</v>
      </c>
      <c r="B593" s="5" t="s">
        <v>677</v>
      </c>
      <c r="C593" s="5" t="s">
        <v>73</v>
      </c>
      <c r="D593" s="5" t="s">
        <v>64</v>
      </c>
      <c r="E593" s="5" t="s">
        <v>70</v>
      </c>
      <c r="F593" s="5" t="s">
        <v>71</v>
      </c>
      <c r="G593" s="5" t="n">
        <v>2653</v>
      </c>
      <c r="H593" s="12" t="n">
        <v>2.83</v>
      </c>
      <c r="I593" s="12" t="n">
        <v>7507.99</v>
      </c>
      <c r="J593" s="12" t="n">
        <v>3448.9</v>
      </c>
      <c r="K593" s="12" t="n">
        <f aca="false">I593-J593</f>
        <v>4059.09</v>
      </c>
    </row>
    <row r="594" customFormat="false" ht="15" hidden="false" customHeight="false" outlineLevel="0" collapsed="false">
      <c r="A594" s="11" t="n">
        <v>46167</v>
      </c>
      <c r="B594" s="5" t="s">
        <v>678</v>
      </c>
      <c r="C594" s="5" t="s">
        <v>87</v>
      </c>
      <c r="D594" s="5" t="s">
        <v>64</v>
      </c>
      <c r="E594" s="5" t="s">
        <v>70</v>
      </c>
      <c r="F594" s="5" t="s">
        <v>92</v>
      </c>
      <c r="G594" s="5" t="n">
        <v>2276</v>
      </c>
      <c r="H594" s="12" t="n">
        <v>2.4</v>
      </c>
      <c r="I594" s="12" t="n">
        <v>5462.4</v>
      </c>
      <c r="J594" s="12" t="n">
        <v>2162.2</v>
      </c>
      <c r="K594" s="12" t="n">
        <f aca="false">I594-J594</f>
        <v>3300.2</v>
      </c>
    </row>
    <row r="595" customFormat="false" ht="15" hidden="false" customHeight="false" outlineLevel="0" collapsed="false">
      <c r="A595" s="11" t="n">
        <v>46168</v>
      </c>
      <c r="B595" s="5" t="s">
        <v>679</v>
      </c>
      <c r="C595" s="5" t="s">
        <v>99</v>
      </c>
      <c r="D595" s="5" t="s">
        <v>69</v>
      </c>
      <c r="E595" s="5" t="s">
        <v>58</v>
      </c>
      <c r="F595" s="5" t="s">
        <v>61</v>
      </c>
      <c r="G595" s="5" t="n">
        <v>390</v>
      </c>
      <c r="H595" s="12" t="n">
        <v>23.52</v>
      </c>
      <c r="I595" s="12" t="n">
        <v>9172.8</v>
      </c>
      <c r="J595" s="12" t="n">
        <v>4602</v>
      </c>
      <c r="K595" s="12" t="n">
        <f aca="false">I595-J595</f>
        <v>4570.8</v>
      </c>
    </row>
    <row r="596" customFormat="false" ht="15" hidden="false" customHeight="false" outlineLevel="0" collapsed="false">
      <c r="A596" s="11" t="n">
        <v>46168</v>
      </c>
      <c r="B596" s="5" t="s">
        <v>680</v>
      </c>
      <c r="C596" s="5" t="s">
        <v>85</v>
      </c>
      <c r="D596" s="5" t="s">
        <v>69</v>
      </c>
      <c r="E596" s="5" t="s">
        <v>58</v>
      </c>
      <c r="F596" s="5" t="s">
        <v>117</v>
      </c>
      <c r="G596" s="5" t="n">
        <v>1053</v>
      </c>
      <c r="H596" s="12" t="n">
        <v>3.4</v>
      </c>
      <c r="I596" s="12" t="n">
        <v>3580.2</v>
      </c>
      <c r="J596" s="12" t="n">
        <v>1526.85</v>
      </c>
      <c r="K596" s="12" t="n">
        <f aca="false">I596-J596</f>
        <v>2053.35</v>
      </c>
    </row>
    <row r="597" customFormat="false" ht="15" hidden="false" customHeight="false" outlineLevel="0" collapsed="false">
      <c r="A597" s="11" t="n">
        <v>46168</v>
      </c>
      <c r="B597" s="5" t="s">
        <v>681</v>
      </c>
      <c r="C597" s="5" t="s">
        <v>56</v>
      </c>
      <c r="D597" s="5" t="s">
        <v>57</v>
      </c>
      <c r="E597" s="5" t="s">
        <v>58</v>
      </c>
      <c r="F597" s="5" t="s">
        <v>96</v>
      </c>
      <c r="G597" s="5" t="n">
        <v>3546</v>
      </c>
      <c r="H597" s="12" t="n">
        <v>2.1</v>
      </c>
      <c r="I597" s="12" t="n">
        <v>7446.6</v>
      </c>
      <c r="J597" s="12" t="n">
        <v>3262.32</v>
      </c>
      <c r="K597" s="12" t="n">
        <f aca="false">I597-J597</f>
        <v>4184.28</v>
      </c>
    </row>
    <row r="598" customFormat="false" ht="15" hidden="false" customHeight="false" outlineLevel="0" collapsed="false">
      <c r="A598" s="11" t="n">
        <v>46168</v>
      </c>
      <c r="B598" s="5" t="s">
        <v>682</v>
      </c>
      <c r="C598" s="5" t="s">
        <v>85</v>
      </c>
      <c r="D598" s="5" t="s">
        <v>69</v>
      </c>
      <c r="E598" s="5" t="s">
        <v>75</v>
      </c>
      <c r="F598" s="5" t="s">
        <v>83</v>
      </c>
      <c r="G598" s="5" t="n">
        <v>80</v>
      </c>
      <c r="H598" s="12" t="n">
        <v>4.2</v>
      </c>
      <c r="I598" s="12" t="n">
        <v>336</v>
      </c>
      <c r="J598" s="12" t="n">
        <v>148</v>
      </c>
      <c r="K598" s="12" t="n">
        <f aca="false">I598-J598</f>
        <v>188</v>
      </c>
    </row>
    <row r="599" customFormat="false" ht="15" hidden="false" customHeight="false" outlineLevel="0" collapsed="false">
      <c r="A599" s="11" t="n">
        <v>46168</v>
      </c>
      <c r="B599" s="5" t="s">
        <v>683</v>
      </c>
      <c r="C599" s="5" t="s">
        <v>81</v>
      </c>
      <c r="D599" s="5" t="s">
        <v>64</v>
      </c>
      <c r="E599" s="5" t="s">
        <v>70</v>
      </c>
      <c r="F599" s="5" t="s">
        <v>71</v>
      </c>
      <c r="G599" s="5" t="n">
        <v>2191</v>
      </c>
      <c r="H599" s="12" t="n">
        <v>2.95</v>
      </c>
      <c r="I599" s="12" t="n">
        <v>6463.45</v>
      </c>
      <c r="J599" s="12" t="n">
        <v>2848.3</v>
      </c>
      <c r="K599" s="12" t="n">
        <f aca="false">I599-J599</f>
        <v>3615.15</v>
      </c>
    </row>
    <row r="600" customFormat="false" ht="15" hidden="false" customHeight="false" outlineLevel="0" collapsed="false">
      <c r="A600" s="11" t="n">
        <v>46169</v>
      </c>
      <c r="B600" s="5" t="s">
        <v>684</v>
      </c>
      <c r="C600" s="5" t="s">
        <v>63</v>
      </c>
      <c r="D600" s="5" t="s">
        <v>64</v>
      </c>
      <c r="E600" s="5" t="s">
        <v>58</v>
      </c>
      <c r="F600" s="5" t="s">
        <v>59</v>
      </c>
      <c r="G600" s="5" t="n">
        <v>4208</v>
      </c>
      <c r="H600" s="12" t="n">
        <v>3.9</v>
      </c>
      <c r="I600" s="12" t="n">
        <v>16411.2</v>
      </c>
      <c r="J600" s="12" t="n">
        <v>7153.6</v>
      </c>
      <c r="K600" s="12" t="n">
        <f aca="false">I600-J600</f>
        <v>9257.6</v>
      </c>
    </row>
    <row r="601" customFormat="false" ht="15" hidden="false" customHeight="false" outlineLevel="0" collapsed="false">
      <c r="A601" s="11" t="n">
        <v>46169</v>
      </c>
      <c r="B601" s="5" t="s">
        <v>685</v>
      </c>
      <c r="C601" s="5" t="s">
        <v>115</v>
      </c>
      <c r="D601" s="5" t="s">
        <v>69</v>
      </c>
      <c r="E601" s="5" t="s">
        <v>58</v>
      </c>
      <c r="F601" s="5" t="s">
        <v>59</v>
      </c>
      <c r="G601" s="5" t="n">
        <v>2323</v>
      </c>
      <c r="H601" s="12" t="n">
        <v>3.9</v>
      </c>
      <c r="I601" s="12" t="n">
        <v>9059.7</v>
      </c>
      <c r="J601" s="12" t="n">
        <v>3949.1</v>
      </c>
      <c r="K601" s="12" t="n">
        <f aca="false">I601-J601</f>
        <v>5110.6</v>
      </c>
    </row>
    <row r="602" customFormat="false" ht="15" hidden="false" customHeight="false" outlineLevel="0" collapsed="false">
      <c r="A602" s="11" t="n">
        <v>46169</v>
      </c>
      <c r="B602" s="5" t="s">
        <v>686</v>
      </c>
      <c r="C602" s="5" t="s">
        <v>63</v>
      </c>
      <c r="D602" s="5" t="s">
        <v>64</v>
      </c>
      <c r="E602" s="5" t="s">
        <v>75</v>
      </c>
      <c r="F602" s="5" t="s">
        <v>78</v>
      </c>
      <c r="G602" s="5" t="n">
        <v>238</v>
      </c>
      <c r="H602" s="12" t="n">
        <v>6.1</v>
      </c>
      <c r="I602" s="12" t="n">
        <v>1451.8</v>
      </c>
      <c r="J602" s="12" t="n">
        <v>618.8</v>
      </c>
      <c r="K602" s="12" t="n">
        <f aca="false">I602-J602</f>
        <v>833</v>
      </c>
    </row>
    <row r="603" customFormat="false" ht="15" hidden="false" customHeight="false" outlineLevel="0" collapsed="false">
      <c r="A603" s="11" t="n">
        <v>46169</v>
      </c>
      <c r="B603" s="5" t="s">
        <v>687</v>
      </c>
      <c r="C603" s="5" t="s">
        <v>56</v>
      </c>
      <c r="D603" s="5" t="s">
        <v>57</v>
      </c>
      <c r="E603" s="5" t="s">
        <v>75</v>
      </c>
      <c r="F603" s="5" t="s">
        <v>83</v>
      </c>
      <c r="G603" s="5" t="n">
        <v>242</v>
      </c>
      <c r="H603" s="12" t="n">
        <v>4.2</v>
      </c>
      <c r="I603" s="12" t="n">
        <v>1016.4</v>
      </c>
      <c r="J603" s="12" t="n">
        <v>447.7</v>
      </c>
      <c r="K603" s="12" t="n">
        <f aca="false">I603-J603</f>
        <v>568.7</v>
      </c>
    </row>
    <row r="604" customFormat="false" ht="15" hidden="false" customHeight="false" outlineLevel="0" collapsed="false">
      <c r="A604" s="11" t="n">
        <v>46169</v>
      </c>
      <c r="B604" s="5" t="s">
        <v>688</v>
      </c>
      <c r="C604" s="5" t="s">
        <v>73</v>
      </c>
      <c r="D604" s="5" t="s">
        <v>64</v>
      </c>
      <c r="E604" s="5" t="s">
        <v>65</v>
      </c>
      <c r="F604" s="5" t="s">
        <v>66</v>
      </c>
      <c r="G604" s="5" t="n">
        <v>137</v>
      </c>
      <c r="H604" s="12" t="n">
        <v>23.9</v>
      </c>
      <c r="I604" s="12" t="n">
        <v>3274.3</v>
      </c>
      <c r="J604" s="12" t="n">
        <v>1561.8</v>
      </c>
      <c r="K604" s="12" t="n">
        <f aca="false">I604-J604</f>
        <v>1712.5</v>
      </c>
    </row>
    <row r="605" customFormat="false" ht="15" hidden="false" customHeight="false" outlineLevel="0" collapsed="false">
      <c r="A605" s="11" t="n">
        <v>46170</v>
      </c>
      <c r="B605" s="5" t="s">
        <v>689</v>
      </c>
      <c r="C605" s="5" t="s">
        <v>87</v>
      </c>
      <c r="D605" s="5" t="s">
        <v>64</v>
      </c>
      <c r="E605" s="5" t="s">
        <v>65</v>
      </c>
      <c r="F605" s="5" t="s">
        <v>66</v>
      </c>
      <c r="G605" s="5" t="n">
        <v>202</v>
      </c>
      <c r="H605" s="12" t="n">
        <v>24.9</v>
      </c>
      <c r="I605" s="12" t="n">
        <v>5029.8</v>
      </c>
      <c r="J605" s="12" t="n">
        <v>2302.8</v>
      </c>
      <c r="K605" s="12" t="n">
        <f aca="false">I605-J605</f>
        <v>2727</v>
      </c>
    </row>
    <row r="606" customFormat="false" ht="15" hidden="false" customHeight="false" outlineLevel="0" collapsed="false">
      <c r="A606" s="11" t="n">
        <v>46170</v>
      </c>
      <c r="B606" s="5" t="s">
        <v>690</v>
      </c>
      <c r="C606" s="5" t="s">
        <v>73</v>
      </c>
      <c r="D606" s="5" t="s">
        <v>64</v>
      </c>
      <c r="E606" s="5" t="s">
        <v>70</v>
      </c>
      <c r="F606" s="5" t="s">
        <v>90</v>
      </c>
      <c r="G606" s="5" t="n">
        <v>2899</v>
      </c>
      <c r="H606" s="12" t="n">
        <v>2.59</v>
      </c>
      <c r="I606" s="12" t="n">
        <v>7508.41</v>
      </c>
      <c r="J606" s="12" t="n">
        <v>3478.8</v>
      </c>
      <c r="K606" s="12" t="n">
        <f aca="false">I606-J606</f>
        <v>4029.61</v>
      </c>
    </row>
    <row r="607" customFormat="false" ht="15" hidden="false" customHeight="false" outlineLevel="0" collapsed="false">
      <c r="A607" s="11" t="n">
        <v>46174</v>
      </c>
      <c r="B607" s="5" t="s">
        <v>691</v>
      </c>
      <c r="C607" s="5" t="s">
        <v>81</v>
      </c>
      <c r="D607" s="5" t="s">
        <v>64</v>
      </c>
      <c r="E607" s="5" t="s">
        <v>58</v>
      </c>
      <c r="F607" s="5" t="s">
        <v>59</v>
      </c>
      <c r="G607" s="5" t="n">
        <v>4361</v>
      </c>
      <c r="H607" s="12" t="n">
        <v>3.9</v>
      </c>
      <c r="I607" s="12" t="n">
        <v>17007.9</v>
      </c>
      <c r="J607" s="12" t="n">
        <v>7413.7</v>
      </c>
      <c r="K607" s="12" t="n">
        <f aca="false">I607-J607</f>
        <v>9594.2</v>
      </c>
    </row>
    <row r="608" customFormat="false" ht="15" hidden="false" customHeight="false" outlineLevel="0" collapsed="false">
      <c r="A608" s="11" t="n">
        <v>46174</v>
      </c>
      <c r="B608" s="5" t="s">
        <v>692</v>
      </c>
      <c r="C608" s="5" t="s">
        <v>85</v>
      </c>
      <c r="D608" s="5" t="s">
        <v>69</v>
      </c>
      <c r="E608" s="5" t="s">
        <v>58</v>
      </c>
      <c r="F608" s="5" t="s">
        <v>61</v>
      </c>
      <c r="G608" s="5" t="n">
        <v>263</v>
      </c>
      <c r="H608" s="12" t="n">
        <v>24.5</v>
      </c>
      <c r="I608" s="12" t="n">
        <v>6443.5</v>
      </c>
      <c r="J608" s="12" t="n">
        <v>3103.4</v>
      </c>
      <c r="K608" s="12" t="n">
        <f aca="false">I608-J608</f>
        <v>3340.1</v>
      </c>
    </row>
    <row r="609" customFormat="false" ht="15" hidden="false" customHeight="false" outlineLevel="0" collapsed="false">
      <c r="A609" s="11" t="n">
        <v>46174</v>
      </c>
      <c r="B609" s="5" t="s">
        <v>693</v>
      </c>
      <c r="C609" s="5" t="s">
        <v>94</v>
      </c>
      <c r="D609" s="5" t="s">
        <v>95</v>
      </c>
      <c r="E609" s="5" t="s">
        <v>75</v>
      </c>
      <c r="F609" s="5" t="s">
        <v>78</v>
      </c>
      <c r="G609" s="5" t="n">
        <v>137</v>
      </c>
      <c r="H609" s="12" t="n">
        <v>6.1</v>
      </c>
      <c r="I609" s="12" t="n">
        <v>835.7</v>
      </c>
      <c r="J609" s="12" t="n">
        <v>356.2</v>
      </c>
      <c r="K609" s="12" t="n">
        <f aca="false">I609-J609</f>
        <v>479.5</v>
      </c>
    </row>
    <row r="610" customFormat="false" ht="15" hidden="false" customHeight="false" outlineLevel="0" collapsed="false">
      <c r="A610" s="11" t="n">
        <v>46174</v>
      </c>
      <c r="B610" s="5" t="s">
        <v>694</v>
      </c>
      <c r="C610" s="5" t="s">
        <v>87</v>
      </c>
      <c r="D610" s="5" t="s">
        <v>64</v>
      </c>
      <c r="E610" s="5" t="s">
        <v>75</v>
      </c>
      <c r="F610" s="5" t="s">
        <v>78</v>
      </c>
      <c r="G610" s="5" t="n">
        <v>129</v>
      </c>
      <c r="H610" s="12" t="n">
        <v>6.1</v>
      </c>
      <c r="I610" s="12" t="n">
        <v>786.9</v>
      </c>
      <c r="J610" s="12" t="n">
        <v>335.4</v>
      </c>
      <c r="K610" s="12" t="n">
        <f aca="false">I610-J610</f>
        <v>451.5</v>
      </c>
    </row>
    <row r="611" customFormat="false" ht="15" hidden="false" customHeight="false" outlineLevel="0" collapsed="false">
      <c r="A611" s="11" t="n">
        <v>46174</v>
      </c>
      <c r="B611" s="5" t="s">
        <v>695</v>
      </c>
      <c r="C611" s="5" t="s">
        <v>68</v>
      </c>
      <c r="D611" s="5" t="s">
        <v>69</v>
      </c>
      <c r="E611" s="5" t="s">
        <v>65</v>
      </c>
      <c r="F611" s="5" t="s">
        <v>88</v>
      </c>
      <c r="G611" s="5" t="n">
        <v>310</v>
      </c>
      <c r="H611" s="12" t="n">
        <v>11.5</v>
      </c>
      <c r="I611" s="12" t="n">
        <v>3565</v>
      </c>
      <c r="J611" s="12" t="n">
        <v>1581</v>
      </c>
      <c r="K611" s="12" t="n">
        <f aca="false">I611-J611</f>
        <v>1984</v>
      </c>
    </row>
    <row r="612" customFormat="false" ht="15" hidden="false" customHeight="false" outlineLevel="0" collapsed="false">
      <c r="A612" s="11" t="n">
        <v>46174</v>
      </c>
      <c r="B612" s="5" t="s">
        <v>696</v>
      </c>
      <c r="C612" s="5" t="s">
        <v>63</v>
      </c>
      <c r="D612" s="5" t="s">
        <v>64</v>
      </c>
      <c r="E612" s="5" t="s">
        <v>70</v>
      </c>
      <c r="F612" s="5" t="s">
        <v>92</v>
      </c>
      <c r="G612" s="5" t="n">
        <v>4251</v>
      </c>
      <c r="H612" s="12" t="n">
        <v>2.4</v>
      </c>
      <c r="I612" s="12" t="n">
        <v>10202.4</v>
      </c>
      <c r="J612" s="12" t="n">
        <v>4038.45</v>
      </c>
      <c r="K612" s="12" t="n">
        <f aca="false">I612-J612</f>
        <v>6163.95</v>
      </c>
    </row>
    <row r="613" customFormat="false" ht="15" hidden="false" customHeight="false" outlineLevel="0" collapsed="false">
      <c r="A613" s="11" t="n">
        <v>46175</v>
      </c>
      <c r="B613" s="5" t="s">
        <v>697</v>
      </c>
      <c r="C613" s="5" t="s">
        <v>73</v>
      </c>
      <c r="D613" s="5" t="s">
        <v>64</v>
      </c>
      <c r="E613" s="5" t="s">
        <v>58</v>
      </c>
      <c r="F613" s="5" t="s">
        <v>59</v>
      </c>
      <c r="G613" s="5" t="n">
        <v>2510</v>
      </c>
      <c r="H613" s="12" t="n">
        <v>3.74</v>
      </c>
      <c r="I613" s="12" t="n">
        <v>9387.4</v>
      </c>
      <c r="J613" s="12" t="n">
        <v>4267</v>
      </c>
      <c r="K613" s="12" t="n">
        <f aca="false">I613-J613</f>
        <v>5120.4</v>
      </c>
    </row>
    <row r="614" customFormat="false" ht="15" hidden="false" customHeight="false" outlineLevel="0" collapsed="false">
      <c r="A614" s="11" t="n">
        <v>46175</v>
      </c>
      <c r="B614" s="5" t="s">
        <v>698</v>
      </c>
      <c r="C614" s="5" t="s">
        <v>115</v>
      </c>
      <c r="D614" s="5" t="s">
        <v>69</v>
      </c>
      <c r="E614" s="5" t="s">
        <v>65</v>
      </c>
      <c r="F614" s="5" t="s">
        <v>103</v>
      </c>
      <c r="G614" s="5" t="n">
        <v>202</v>
      </c>
      <c r="H614" s="12" t="n">
        <v>15.2</v>
      </c>
      <c r="I614" s="12" t="n">
        <v>3070.4</v>
      </c>
      <c r="J614" s="12" t="n">
        <v>1373.6</v>
      </c>
      <c r="K614" s="12" t="n">
        <f aca="false">I614-J614</f>
        <v>1696.8</v>
      </c>
    </row>
    <row r="615" customFormat="false" ht="15" hidden="false" customHeight="false" outlineLevel="0" collapsed="false">
      <c r="A615" s="11" t="n">
        <v>46175</v>
      </c>
      <c r="B615" s="5" t="s">
        <v>699</v>
      </c>
      <c r="C615" s="5" t="s">
        <v>115</v>
      </c>
      <c r="D615" s="5" t="s">
        <v>69</v>
      </c>
      <c r="E615" s="5" t="s">
        <v>70</v>
      </c>
      <c r="F615" s="5" t="s">
        <v>92</v>
      </c>
      <c r="G615" s="5" t="n">
        <v>1265</v>
      </c>
      <c r="H615" s="12" t="n">
        <v>2.4</v>
      </c>
      <c r="I615" s="12" t="n">
        <v>3036</v>
      </c>
      <c r="J615" s="12" t="n">
        <v>1201.75</v>
      </c>
      <c r="K615" s="12" t="n">
        <f aca="false">I615-J615</f>
        <v>1834.25</v>
      </c>
    </row>
    <row r="616" customFormat="false" ht="15" hidden="false" customHeight="false" outlineLevel="0" collapsed="false">
      <c r="A616" s="11" t="n">
        <v>46176</v>
      </c>
      <c r="B616" s="5" t="s">
        <v>700</v>
      </c>
      <c r="C616" s="5" t="s">
        <v>87</v>
      </c>
      <c r="D616" s="5" t="s">
        <v>64</v>
      </c>
      <c r="E616" s="5" t="s">
        <v>58</v>
      </c>
      <c r="F616" s="5" t="s">
        <v>59</v>
      </c>
      <c r="G616" s="5" t="n">
        <v>2161</v>
      </c>
      <c r="H616" s="12" t="n">
        <v>3.9</v>
      </c>
      <c r="I616" s="12" t="n">
        <v>8427.9</v>
      </c>
      <c r="J616" s="12" t="n">
        <v>3673.7</v>
      </c>
      <c r="K616" s="12" t="n">
        <f aca="false">I616-J616</f>
        <v>4754.2</v>
      </c>
    </row>
    <row r="617" customFormat="false" ht="15" hidden="false" customHeight="false" outlineLevel="0" collapsed="false">
      <c r="A617" s="11" t="n">
        <v>46176</v>
      </c>
      <c r="B617" s="5" t="s">
        <v>701</v>
      </c>
      <c r="C617" s="5" t="s">
        <v>68</v>
      </c>
      <c r="D617" s="5" t="s">
        <v>69</v>
      </c>
      <c r="E617" s="5" t="s">
        <v>58</v>
      </c>
      <c r="F617" s="5" t="s">
        <v>59</v>
      </c>
      <c r="G617" s="5" t="n">
        <v>1005</v>
      </c>
      <c r="H617" s="12" t="n">
        <v>3.9</v>
      </c>
      <c r="I617" s="12" t="n">
        <v>3919.5</v>
      </c>
      <c r="J617" s="12" t="n">
        <v>1708.5</v>
      </c>
      <c r="K617" s="12" t="n">
        <f aca="false">I617-J617</f>
        <v>2211</v>
      </c>
    </row>
    <row r="618" customFormat="false" ht="15" hidden="false" customHeight="false" outlineLevel="0" collapsed="false">
      <c r="A618" s="11" t="n">
        <v>46176</v>
      </c>
      <c r="B618" s="5" t="s">
        <v>702</v>
      </c>
      <c r="C618" s="5" t="s">
        <v>99</v>
      </c>
      <c r="D618" s="5" t="s">
        <v>69</v>
      </c>
      <c r="E618" s="5" t="s">
        <v>75</v>
      </c>
      <c r="F618" s="5" t="s">
        <v>83</v>
      </c>
      <c r="G618" s="5" t="n">
        <v>258</v>
      </c>
      <c r="H618" s="12" t="n">
        <v>4.03</v>
      </c>
      <c r="I618" s="12" t="n">
        <v>1039.74</v>
      </c>
      <c r="J618" s="12" t="n">
        <v>477.3</v>
      </c>
      <c r="K618" s="12" t="n">
        <f aca="false">I618-J618</f>
        <v>562.44</v>
      </c>
    </row>
    <row r="619" customFormat="false" ht="15" hidden="false" customHeight="false" outlineLevel="0" collapsed="false">
      <c r="A619" s="11" t="n">
        <v>46176</v>
      </c>
      <c r="B619" s="5" t="s">
        <v>703</v>
      </c>
      <c r="C619" s="5" t="s">
        <v>68</v>
      </c>
      <c r="D619" s="5" t="s">
        <v>69</v>
      </c>
      <c r="E619" s="5" t="s">
        <v>65</v>
      </c>
      <c r="F619" s="5" t="s">
        <v>88</v>
      </c>
      <c r="G619" s="5" t="n">
        <v>310</v>
      </c>
      <c r="H619" s="12" t="n">
        <v>11.5</v>
      </c>
      <c r="I619" s="12" t="n">
        <v>3565</v>
      </c>
      <c r="J619" s="12" t="n">
        <v>1581</v>
      </c>
      <c r="K619" s="12" t="n">
        <f aca="false">I619-J619</f>
        <v>1984</v>
      </c>
    </row>
    <row r="620" customFormat="false" ht="15" hidden="false" customHeight="false" outlineLevel="0" collapsed="false">
      <c r="A620" s="11" t="n">
        <v>46176</v>
      </c>
      <c r="B620" s="5" t="s">
        <v>704</v>
      </c>
      <c r="C620" s="5" t="s">
        <v>81</v>
      </c>
      <c r="D620" s="5" t="s">
        <v>64</v>
      </c>
      <c r="E620" s="5" t="s">
        <v>70</v>
      </c>
      <c r="F620" s="5" t="s">
        <v>90</v>
      </c>
      <c r="G620" s="5" t="n">
        <v>4561</v>
      </c>
      <c r="H620" s="12" t="n">
        <v>2.7</v>
      </c>
      <c r="I620" s="12" t="n">
        <v>12314.7</v>
      </c>
      <c r="J620" s="12" t="n">
        <v>5473.2</v>
      </c>
      <c r="K620" s="12" t="n">
        <f aca="false">I620-J620</f>
        <v>6841.5</v>
      </c>
    </row>
    <row r="621" customFormat="false" ht="15" hidden="false" customHeight="false" outlineLevel="0" collapsed="false">
      <c r="A621" s="11" t="n">
        <v>46176</v>
      </c>
      <c r="B621" s="5" t="s">
        <v>705</v>
      </c>
      <c r="C621" s="5" t="s">
        <v>115</v>
      </c>
      <c r="D621" s="5" t="s">
        <v>69</v>
      </c>
      <c r="E621" s="5" t="s">
        <v>70</v>
      </c>
      <c r="F621" s="5" t="s">
        <v>92</v>
      </c>
      <c r="G621" s="5" t="n">
        <v>1265</v>
      </c>
      <c r="H621" s="12" t="n">
        <v>2.4</v>
      </c>
      <c r="I621" s="12" t="n">
        <v>3036</v>
      </c>
      <c r="J621" s="12" t="n">
        <v>1201.75</v>
      </c>
      <c r="K621" s="12" t="n">
        <f aca="false">I621-J621</f>
        <v>1834.25</v>
      </c>
    </row>
    <row r="622" customFormat="false" ht="15" hidden="false" customHeight="false" outlineLevel="0" collapsed="false">
      <c r="A622" s="11" t="n">
        <v>46177</v>
      </c>
      <c r="B622" s="5" t="s">
        <v>706</v>
      </c>
      <c r="C622" s="5" t="s">
        <v>99</v>
      </c>
      <c r="D622" s="5" t="s">
        <v>69</v>
      </c>
      <c r="E622" s="5" t="s">
        <v>75</v>
      </c>
      <c r="F622" s="5" t="s">
        <v>78</v>
      </c>
      <c r="G622" s="5" t="n">
        <v>178</v>
      </c>
      <c r="H622" s="12" t="n">
        <v>5.86</v>
      </c>
      <c r="I622" s="12" t="n">
        <v>1043.08</v>
      </c>
      <c r="J622" s="12" t="n">
        <v>462.8</v>
      </c>
      <c r="K622" s="12" t="n">
        <f aca="false">I622-J622</f>
        <v>580.28</v>
      </c>
    </row>
    <row r="623" customFormat="false" ht="15" hidden="false" customHeight="false" outlineLevel="0" collapsed="false">
      <c r="A623" s="11" t="n">
        <v>46177</v>
      </c>
      <c r="B623" s="5" t="s">
        <v>707</v>
      </c>
      <c r="C623" s="5" t="s">
        <v>81</v>
      </c>
      <c r="D623" s="5" t="s">
        <v>64</v>
      </c>
      <c r="E623" s="5" t="s">
        <v>75</v>
      </c>
      <c r="F623" s="5" t="s">
        <v>76</v>
      </c>
      <c r="G623" s="5" t="n">
        <v>512</v>
      </c>
      <c r="H623" s="12" t="n">
        <v>4.8</v>
      </c>
      <c r="I623" s="12" t="n">
        <v>2457.6</v>
      </c>
      <c r="J623" s="12" t="n">
        <v>1049.6</v>
      </c>
      <c r="K623" s="12" t="n">
        <f aca="false">I623-J623</f>
        <v>1408</v>
      </c>
    </row>
    <row r="624" customFormat="false" ht="15" hidden="false" customHeight="false" outlineLevel="0" collapsed="false">
      <c r="A624" s="11" t="n">
        <v>46177</v>
      </c>
      <c r="B624" s="5" t="s">
        <v>708</v>
      </c>
      <c r="C624" s="5" t="s">
        <v>85</v>
      </c>
      <c r="D624" s="5" t="s">
        <v>69</v>
      </c>
      <c r="E624" s="5" t="s">
        <v>75</v>
      </c>
      <c r="F624" s="5" t="s">
        <v>76</v>
      </c>
      <c r="G624" s="5" t="n">
        <v>84</v>
      </c>
      <c r="H624" s="12" t="n">
        <v>4.8</v>
      </c>
      <c r="I624" s="12" t="n">
        <v>403.2</v>
      </c>
      <c r="J624" s="12" t="n">
        <v>172.2</v>
      </c>
      <c r="K624" s="12" t="n">
        <f aca="false">I624-J624</f>
        <v>231</v>
      </c>
    </row>
    <row r="625" customFormat="false" ht="15" hidden="false" customHeight="false" outlineLevel="0" collapsed="false">
      <c r="A625" s="11" t="n">
        <v>46177</v>
      </c>
      <c r="B625" s="5" t="s">
        <v>709</v>
      </c>
      <c r="C625" s="5" t="s">
        <v>87</v>
      </c>
      <c r="D625" s="5" t="s">
        <v>64</v>
      </c>
      <c r="E625" s="5" t="s">
        <v>70</v>
      </c>
      <c r="F625" s="5" t="s">
        <v>71</v>
      </c>
      <c r="G625" s="5" t="n">
        <v>2286</v>
      </c>
      <c r="H625" s="12" t="n">
        <v>2.95</v>
      </c>
      <c r="I625" s="12" t="n">
        <v>6743.7</v>
      </c>
      <c r="J625" s="12" t="n">
        <v>2971.8</v>
      </c>
      <c r="K625" s="12" t="n">
        <f aca="false">I625-J625</f>
        <v>3771.9</v>
      </c>
    </row>
    <row r="626" customFormat="false" ht="15" hidden="false" customHeight="false" outlineLevel="0" collapsed="false">
      <c r="A626" s="11" t="n">
        <v>46177</v>
      </c>
      <c r="B626" s="5" t="s">
        <v>710</v>
      </c>
      <c r="C626" s="5" t="s">
        <v>85</v>
      </c>
      <c r="D626" s="5" t="s">
        <v>69</v>
      </c>
      <c r="E626" s="5" t="s">
        <v>70</v>
      </c>
      <c r="F626" s="5" t="s">
        <v>71</v>
      </c>
      <c r="G626" s="5" t="n">
        <v>1232</v>
      </c>
      <c r="H626" s="12" t="n">
        <v>2.95</v>
      </c>
      <c r="I626" s="12" t="n">
        <v>3634.4</v>
      </c>
      <c r="J626" s="12" t="n">
        <v>1601.6</v>
      </c>
      <c r="K626" s="12" t="n">
        <f aca="false">I626-J626</f>
        <v>2032.8</v>
      </c>
    </row>
    <row r="627" customFormat="false" ht="15" hidden="false" customHeight="false" outlineLevel="0" collapsed="false">
      <c r="A627" s="11" t="n">
        <v>46178</v>
      </c>
      <c r="B627" s="5" t="s">
        <v>711</v>
      </c>
      <c r="C627" s="5" t="s">
        <v>73</v>
      </c>
      <c r="D627" s="5" t="s">
        <v>64</v>
      </c>
      <c r="E627" s="5" t="s">
        <v>58</v>
      </c>
      <c r="F627" s="5" t="s">
        <v>96</v>
      </c>
      <c r="G627" s="5" t="n">
        <v>4648</v>
      </c>
      <c r="H627" s="12" t="n">
        <v>2.02</v>
      </c>
      <c r="I627" s="12" t="n">
        <v>9388.96</v>
      </c>
      <c r="J627" s="12" t="n">
        <v>4276.16</v>
      </c>
      <c r="K627" s="12" t="n">
        <f aca="false">I627-J627</f>
        <v>5112.8</v>
      </c>
    </row>
    <row r="628" customFormat="false" ht="15" hidden="false" customHeight="false" outlineLevel="0" collapsed="false">
      <c r="A628" s="11" t="n">
        <v>46178</v>
      </c>
      <c r="B628" s="5" t="s">
        <v>712</v>
      </c>
      <c r="C628" s="5" t="s">
        <v>73</v>
      </c>
      <c r="D628" s="5" t="s">
        <v>64</v>
      </c>
      <c r="E628" s="5" t="s">
        <v>58</v>
      </c>
      <c r="F628" s="5" t="s">
        <v>117</v>
      </c>
      <c r="G628" s="5" t="n">
        <v>2880</v>
      </c>
      <c r="H628" s="12" t="n">
        <v>3.26</v>
      </c>
      <c r="I628" s="12" t="n">
        <v>9388.8</v>
      </c>
      <c r="J628" s="12" t="n">
        <v>4176</v>
      </c>
      <c r="K628" s="12" t="n">
        <f aca="false">I628-J628</f>
        <v>5212.8</v>
      </c>
    </row>
    <row r="629" customFormat="false" ht="15" hidden="false" customHeight="false" outlineLevel="0" collapsed="false">
      <c r="A629" s="11" t="n">
        <v>46178</v>
      </c>
      <c r="B629" s="5" t="s">
        <v>713</v>
      </c>
      <c r="C629" s="5" t="s">
        <v>87</v>
      </c>
      <c r="D629" s="5" t="s">
        <v>64</v>
      </c>
      <c r="E629" s="5" t="s">
        <v>58</v>
      </c>
      <c r="F629" s="5" t="s">
        <v>117</v>
      </c>
      <c r="G629" s="5" t="n">
        <v>2479</v>
      </c>
      <c r="H629" s="12" t="n">
        <v>3.4</v>
      </c>
      <c r="I629" s="12" t="n">
        <v>8428.6</v>
      </c>
      <c r="J629" s="12" t="n">
        <v>3594.55</v>
      </c>
      <c r="K629" s="12" t="n">
        <f aca="false">I629-J629</f>
        <v>4834.05</v>
      </c>
    </row>
    <row r="630" customFormat="false" ht="15" hidden="false" customHeight="false" outlineLevel="0" collapsed="false">
      <c r="A630" s="11" t="n">
        <v>46178</v>
      </c>
      <c r="B630" s="5" t="s">
        <v>714</v>
      </c>
      <c r="C630" s="5" t="s">
        <v>87</v>
      </c>
      <c r="D630" s="5" t="s">
        <v>64</v>
      </c>
      <c r="E630" s="5" t="s">
        <v>75</v>
      </c>
      <c r="F630" s="5" t="s">
        <v>78</v>
      </c>
      <c r="G630" s="5" t="n">
        <v>129</v>
      </c>
      <c r="H630" s="12" t="n">
        <v>6.1</v>
      </c>
      <c r="I630" s="12" t="n">
        <v>786.9</v>
      </c>
      <c r="J630" s="12" t="n">
        <v>335.4</v>
      </c>
      <c r="K630" s="12" t="n">
        <f aca="false">I630-J630</f>
        <v>451.5</v>
      </c>
    </row>
    <row r="631" customFormat="false" ht="15" hidden="false" customHeight="false" outlineLevel="0" collapsed="false">
      <c r="A631" s="11" t="n">
        <v>46178</v>
      </c>
      <c r="B631" s="5" t="s">
        <v>715</v>
      </c>
      <c r="C631" s="5" t="s">
        <v>115</v>
      </c>
      <c r="D631" s="5" t="s">
        <v>69</v>
      </c>
      <c r="E631" s="5" t="s">
        <v>75</v>
      </c>
      <c r="F631" s="5" t="s">
        <v>83</v>
      </c>
      <c r="G631" s="5" t="n">
        <v>208</v>
      </c>
      <c r="H631" s="12" t="n">
        <v>4.2</v>
      </c>
      <c r="I631" s="12" t="n">
        <v>873.6</v>
      </c>
      <c r="J631" s="12" t="n">
        <v>384.8</v>
      </c>
      <c r="K631" s="12" t="n">
        <f aca="false">I631-J631</f>
        <v>488.8</v>
      </c>
    </row>
    <row r="632" customFormat="false" ht="15" hidden="false" customHeight="false" outlineLevel="0" collapsed="false">
      <c r="A632" s="11" t="n">
        <v>46178</v>
      </c>
      <c r="B632" s="5" t="s">
        <v>716</v>
      </c>
      <c r="C632" s="5" t="s">
        <v>56</v>
      </c>
      <c r="D632" s="5" t="s">
        <v>57</v>
      </c>
      <c r="E632" s="5" t="s">
        <v>65</v>
      </c>
      <c r="F632" s="5" t="s">
        <v>88</v>
      </c>
      <c r="G632" s="5" t="n">
        <v>334</v>
      </c>
      <c r="H632" s="12" t="n">
        <v>11.5</v>
      </c>
      <c r="I632" s="12" t="n">
        <v>3841</v>
      </c>
      <c r="J632" s="12" t="n">
        <v>1703.4</v>
      </c>
      <c r="K632" s="12" t="n">
        <f aca="false">I632-J632</f>
        <v>2137.6</v>
      </c>
    </row>
    <row r="633" customFormat="false" ht="15" hidden="false" customHeight="false" outlineLevel="0" collapsed="false">
      <c r="A633" s="11" t="n">
        <v>46179</v>
      </c>
      <c r="B633" s="5" t="s">
        <v>717</v>
      </c>
      <c r="C633" s="5" t="s">
        <v>68</v>
      </c>
      <c r="D633" s="5" t="s">
        <v>69</v>
      </c>
      <c r="E633" s="5" t="s">
        <v>58</v>
      </c>
      <c r="F633" s="5" t="s">
        <v>59</v>
      </c>
      <c r="G633" s="5" t="n">
        <v>1005</v>
      </c>
      <c r="H633" s="12" t="n">
        <v>3.9</v>
      </c>
      <c r="I633" s="12" t="n">
        <v>3919.5</v>
      </c>
      <c r="J633" s="12" t="n">
        <v>1708.5</v>
      </c>
      <c r="K633" s="12" t="n">
        <f aca="false">I633-J633</f>
        <v>2211</v>
      </c>
    </row>
    <row r="634" customFormat="false" ht="15" hidden="false" customHeight="false" outlineLevel="0" collapsed="false">
      <c r="A634" s="11" t="n">
        <v>46179</v>
      </c>
      <c r="B634" s="5" t="s">
        <v>718</v>
      </c>
      <c r="C634" s="5" t="s">
        <v>99</v>
      </c>
      <c r="D634" s="5" t="s">
        <v>69</v>
      </c>
      <c r="E634" s="5" t="s">
        <v>65</v>
      </c>
      <c r="F634" s="5" t="s">
        <v>103</v>
      </c>
      <c r="G634" s="5" t="n">
        <v>342</v>
      </c>
      <c r="H634" s="12" t="n">
        <v>14.59</v>
      </c>
      <c r="I634" s="12" t="n">
        <v>4989.78</v>
      </c>
      <c r="J634" s="12" t="n">
        <v>2325.6</v>
      </c>
      <c r="K634" s="12" t="n">
        <f aca="false">I634-J634</f>
        <v>2664.18</v>
      </c>
    </row>
    <row r="635" customFormat="false" ht="15" hidden="false" customHeight="false" outlineLevel="0" collapsed="false">
      <c r="A635" s="11" t="n">
        <v>46180</v>
      </c>
      <c r="B635" s="5" t="s">
        <v>719</v>
      </c>
      <c r="C635" s="5" t="s">
        <v>115</v>
      </c>
      <c r="D635" s="5" t="s">
        <v>69</v>
      </c>
      <c r="E635" s="5" t="s">
        <v>58</v>
      </c>
      <c r="F635" s="5" t="s">
        <v>96</v>
      </c>
      <c r="G635" s="5" t="n">
        <v>3587</v>
      </c>
      <c r="H635" s="12" t="n">
        <v>2.1</v>
      </c>
      <c r="I635" s="12" t="n">
        <v>7532.7</v>
      </c>
      <c r="J635" s="12" t="n">
        <v>3300.04</v>
      </c>
      <c r="K635" s="12" t="n">
        <f aca="false">I635-J635</f>
        <v>4232.66</v>
      </c>
    </row>
    <row r="636" customFormat="false" ht="15" hidden="false" customHeight="false" outlineLevel="0" collapsed="false">
      <c r="A636" s="11" t="n">
        <v>46180</v>
      </c>
      <c r="B636" s="5" t="s">
        <v>720</v>
      </c>
      <c r="C636" s="5" t="s">
        <v>56</v>
      </c>
      <c r="D636" s="5" t="s">
        <v>57</v>
      </c>
      <c r="E636" s="5" t="s">
        <v>58</v>
      </c>
      <c r="F636" s="5" t="s">
        <v>59</v>
      </c>
      <c r="G636" s="5" t="n">
        <v>3008</v>
      </c>
      <c r="H636" s="12" t="n">
        <v>3.9</v>
      </c>
      <c r="I636" s="12" t="n">
        <v>11731.2</v>
      </c>
      <c r="J636" s="12" t="n">
        <v>5113.6</v>
      </c>
      <c r="K636" s="12" t="n">
        <f aca="false">I636-J636</f>
        <v>6617.6</v>
      </c>
    </row>
    <row r="637" customFormat="false" ht="15" hidden="false" customHeight="false" outlineLevel="0" collapsed="false">
      <c r="A637" s="11" t="n">
        <v>46180</v>
      </c>
      <c r="B637" s="5" t="s">
        <v>721</v>
      </c>
      <c r="C637" s="5" t="s">
        <v>81</v>
      </c>
      <c r="D637" s="5" t="s">
        <v>64</v>
      </c>
      <c r="E637" s="5" t="s">
        <v>75</v>
      </c>
      <c r="F637" s="5" t="s">
        <v>78</v>
      </c>
      <c r="G637" s="5" t="n">
        <v>403</v>
      </c>
      <c r="H637" s="12" t="n">
        <v>6.1</v>
      </c>
      <c r="I637" s="12" t="n">
        <v>2458.3</v>
      </c>
      <c r="J637" s="12" t="n">
        <v>1047.8</v>
      </c>
      <c r="K637" s="12" t="n">
        <f aca="false">I637-J637</f>
        <v>1410.5</v>
      </c>
    </row>
    <row r="638" customFormat="false" ht="15" hidden="false" customHeight="false" outlineLevel="0" collapsed="false">
      <c r="A638" s="11" t="n">
        <v>46181</v>
      </c>
      <c r="B638" s="5" t="s">
        <v>722</v>
      </c>
      <c r="C638" s="5" t="s">
        <v>63</v>
      </c>
      <c r="D638" s="5" t="s">
        <v>64</v>
      </c>
      <c r="E638" s="5" t="s">
        <v>75</v>
      </c>
      <c r="F638" s="5" t="s">
        <v>83</v>
      </c>
      <c r="G638" s="5" t="n">
        <v>748</v>
      </c>
      <c r="H638" s="12" t="n">
        <v>4.2</v>
      </c>
      <c r="I638" s="12" t="n">
        <v>3141.6</v>
      </c>
      <c r="J638" s="12" t="n">
        <v>1383.8</v>
      </c>
      <c r="K638" s="12" t="n">
        <f aca="false">I638-J638</f>
        <v>1757.8</v>
      </c>
    </row>
    <row r="639" customFormat="false" ht="15" hidden="false" customHeight="false" outlineLevel="0" collapsed="false">
      <c r="A639" s="11" t="n">
        <v>46181</v>
      </c>
      <c r="B639" s="5" t="s">
        <v>723</v>
      </c>
      <c r="C639" s="5" t="s">
        <v>56</v>
      </c>
      <c r="D639" s="5" t="s">
        <v>57</v>
      </c>
      <c r="E639" s="5" t="s">
        <v>70</v>
      </c>
      <c r="F639" s="5" t="s">
        <v>92</v>
      </c>
      <c r="G639" s="5" t="n">
        <v>2338</v>
      </c>
      <c r="H639" s="12" t="n">
        <v>2.4</v>
      </c>
      <c r="I639" s="12" t="n">
        <v>5611.2</v>
      </c>
      <c r="J639" s="12" t="n">
        <v>2221.1</v>
      </c>
      <c r="K639" s="12" t="n">
        <f aca="false">I639-J639</f>
        <v>3390.1</v>
      </c>
    </row>
    <row r="640" customFormat="false" ht="15" hidden="false" customHeight="false" outlineLevel="0" collapsed="false">
      <c r="A640" s="11" t="n">
        <v>46182</v>
      </c>
      <c r="B640" s="5" t="s">
        <v>724</v>
      </c>
      <c r="C640" s="5" t="s">
        <v>115</v>
      </c>
      <c r="D640" s="5" t="s">
        <v>69</v>
      </c>
      <c r="E640" s="5" t="s">
        <v>75</v>
      </c>
      <c r="F640" s="5" t="s">
        <v>83</v>
      </c>
      <c r="G640" s="5" t="n">
        <v>208</v>
      </c>
      <c r="H640" s="12" t="n">
        <v>4.2</v>
      </c>
      <c r="I640" s="12" t="n">
        <v>873.6</v>
      </c>
      <c r="J640" s="12" t="n">
        <v>384.8</v>
      </c>
      <c r="K640" s="12" t="n">
        <f aca="false">I640-J640</f>
        <v>488.8</v>
      </c>
    </row>
    <row r="641" customFormat="false" ht="15" hidden="false" customHeight="false" outlineLevel="0" collapsed="false">
      <c r="A641" s="11" t="n">
        <v>46183</v>
      </c>
      <c r="B641" s="5" t="s">
        <v>725</v>
      </c>
      <c r="C641" s="5" t="s">
        <v>99</v>
      </c>
      <c r="D641" s="5" t="s">
        <v>69</v>
      </c>
      <c r="E641" s="5" t="s">
        <v>58</v>
      </c>
      <c r="F641" s="5" t="s">
        <v>96</v>
      </c>
      <c r="G641" s="5" t="n">
        <v>11226</v>
      </c>
      <c r="H641" s="12" t="n">
        <v>2.02</v>
      </c>
      <c r="I641" s="12" t="n">
        <v>22676.52</v>
      </c>
      <c r="J641" s="12" t="n">
        <v>10327.92</v>
      </c>
      <c r="K641" s="12" t="n">
        <f aca="false">I641-J641</f>
        <v>12348.6</v>
      </c>
    </row>
    <row r="642" customFormat="false" ht="15" hidden="false" customHeight="false" outlineLevel="0" collapsed="false">
      <c r="A642" s="11" t="n">
        <v>46183</v>
      </c>
      <c r="B642" s="5" t="s">
        <v>726</v>
      </c>
      <c r="C642" s="5" t="s">
        <v>94</v>
      </c>
      <c r="D642" s="5" t="s">
        <v>95</v>
      </c>
      <c r="E642" s="5" t="s">
        <v>75</v>
      </c>
      <c r="F642" s="5" t="s">
        <v>83</v>
      </c>
      <c r="G642" s="5" t="n">
        <v>200</v>
      </c>
      <c r="H642" s="12" t="n">
        <v>4.2</v>
      </c>
      <c r="I642" s="12" t="n">
        <v>840</v>
      </c>
      <c r="J642" s="12" t="n">
        <v>370</v>
      </c>
      <c r="K642" s="12" t="n">
        <f aca="false">I642-J642</f>
        <v>470</v>
      </c>
    </row>
    <row r="643" customFormat="false" ht="15" hidden="false" customHeight="false" outlineLevel="0" collapsed="false">
      <c r="A643" s="11" t="n">
        <v>46183</v>
      </c>
      <c r="B643" s="5" t="s">
        <v>727</v>
      </c>
      <c r="C643" s="5" t="s">
        <v>68</v>
      </c>
      <c r="D643" s="5" t="s">
        <v>69</v>
      </c>
      <c r="E643" s="5" t="s">
        <v>75</v>
      </c>
      <c r="F643" s="5" t="s">
        <v>83</v>
      </c>
      <c r="G643" s="5" t="n">
        <v>249</v>
      </c>
      <c r="H643" s="12" t="n">
        <v>4.2</v>
      </c>
      <c r="I643" s="12" t="n">
        <v>1045.8</v>
      </c>
      <c r="J643" s="12" t="n">
        <v>460.65</v>
      </c>
      <c r="K643" s="12" t="n">
        <f aca="false">I643-J643</f>
        <v>585.15</v>
      </c>
    </row>
    <row r="644" customFormat="false" ht="15" hidden="false" customHeight="false" outlineLevel="0" collapsed="false">
      <c r="A644" s="11" t="n">
        <v>46183</v>
      </c>
      <c r="B644" s="5" t="s">
        <v>728</v>
      </c>
      <c r="C644" s="5" t="s">
        <v>63</v>
      </c>
      <c r="D644" s="5" t="s">
        <v>64</v>
      </c>
      <c r="E644" s="5" t="s">
        <v>65</v>
      </c>
      <c r="F644" s="5" t="s">
        <v>88</v>
      </c>
      <c r="G644" s="5" t="n">
        <v>1248</v>
      </c>
      <c r="H644" s="12" t="n">
        <v>11.5</v>
      </c>
      <c r="I644" s="12" t="n">
        <v>14352</v>
      </c>
      <c r="J644" s="12" t="n">
        <v>6364.8</v>
      </c>
      <c r="K644" s="12" t="n">
        <f aca="false">I644-J644</f>
        <v>7987.2</v>
      </c>
    </row>
    <row r="645" customFormat="false" ht="15" hidden="false" customHeight="false" outlineLevel="0" collapsed="false">
      <c r="A645" s="11" t="n">
        <v>46183</v>
      </c>
      <c r="B645" s="5" t="s">
        <v>729</v>
      </c>
      <c r="C645" s="5" t="s">
        <v>87</v>
      </c>
      <c r="D645" s="5" t="s">
        <v>64</v>
      </c>
      <c r="E645" s="5" t="s">
        <v>65</v>
      </c>
      <c r="F645" s="5" t="s">
        <v>66</v>
      </c>
      <c r="G645" s="5" t="n">
        <v>114</v>
      </c>
      <c r="H645" s="12" t="n">
        <v>24.9</v>
      </c>
      <c r="I645" s="12" t="n">
        <v>2838.6</v>
      </c>
      <c r="J645" s="12" t="n">
        <v>1299.6</v>
      </c>
      <c r="K645" s="12" t="n">
        <f aca="false">I645-J645</f>
        <v>1539</v>
      </c>
    </row>
    <row r="646" customFormat="false" ht="15" hidden="false" customHeight="false" outlineLevel="0" collapsed="false">
      <c r="A646" s="11" t="n">
        <v>46184</v>
      </c>
      <c r="B646" s="5" t="s">
        <v>730</v>
      </c>
      <c r="C646" s="5" t="s">
        <v>81</v>
      </c>
      <c r="D646" s="5" t="s">
        <v>64</v>
      </c>
      <c r="E646" s="5" t="s">
        <v>58</v>
      </c>
      <c r="F646" s="5" t="s">
        <v>117</v>
      </c>
      <c r="G646" s="5" t="n">
        <v>5002</v>
      </c>
      <c r="H646" s="12" t="n">
        <v>3.4</v>
      </c>
      <c r="I646" s="12" t="n">
        <v>17006.8</v>
      </c>
      <c r="J646" s="12" t="n">
        <v>7252.9</v>
      </c>
      <c r="K646" s="12" t="n">
        <f aca="false">I646-J646</f>
        <v>9753.9</v>
      </c>
    </row>
    <row r="647" customFormat="false" ht="15" hidden="false" customHeight="false" outlineLevel="0" collapsed="false">
      <c r="A647" s="11" t="n">
        <v>46184</v>
      </c>
      <c r="B647" s="5" t="s">
        <v>731</v>
      </c>
      <c r="C647" s="5" t="s">
        <v>68</v>
      </c>
      <c r="D647" s="5" t="s">
        <v>69</v>
      </c>
      <c r="E647" s="5" t="s">
        <v>58</v>
      </c>
      <c r="F647" s="5" t="s">
        <v>61</v>
      </c>
      <c r="G647" s="5" t="n">
        <v>159</v>
      </c>
      <c r="H647" s="12" t="n">
        <v>24.5</v>
      </c>
      <c r="I647" s="12" t="n">
        <v>3895.5</v>
      </c>
      <c r="J647" s="12" t="n">
        <v>1876.2</v>
      </c>
      <c r="K647" s="12" t="n">
        <f aca="false">I647-J647</f>
        <v>2019.3</v>
      </c>
    </row>
    <row r="648" customFormat="false" ht="15" hidden="false" customHeight="false" outlineLevel="0" collapsed="false">
      <c r="A648" s="11" t="n">
        <v>46184</v>
      </c>
      <c r="B648" s="5" t="s">
        <v>732</v>
      </c>
      <c r="C648" s="5" t="s">
        <v>94</v>
      </c>
      <c r="D648" s="5" t="s">
        <v>95</v>
      </c>
      <c r="E648" s="5" t="s">
        <v>65</v>
      </c>
      <c r="F648" s="5" t="s">
        <v>103</v>
      </c>
      <c r="G648" s="5" t="n">
        <v>207</v>
      </c>
      <c r="H648" s="12" t="n">
        <v>15.2</v>
      </c>
      <c r="I648" s="12" t="n">
        <v>3146.4</v>
      </c>
      <c r="J648" s="12" t="n">
        <v>1407.6</v>
      </c>
      <c r="K648" s="12" t="n">
        <f aca="false">I648-J648</f>
        <v>1738.8</v>
      </c>
    </row>
    <row r="649" customFormat="false" ht="15" hidden="false" customHeight="false" outlineLevel="0" collapsed="false">
      <c r="A649" s="11" t="n">
        <v>46185</v>
      </c>
      <c r="B649" s="5" t="s">
        <v>733</v>
      </c>
      <c r="C649" s="5" t="s">
        <v>63</v>
      </c>
      <c r="D649" s="5" t="s">
        <v>64</v>
      </c>
      <c r="E649" s="5" t="s">
        <v>58</v>
      </c>
      <c r="F649" s="5" t="s">
        <v>59</v>
      </c>
      <c r="G649" s="5" t="n">
        <v>4627</v>
      </c>
      <c r="H649" s="12" t="n">
        <v>3.9</v>
      </c>
      <c r="I649" s="12" t="n">
        <v>18045.3</v>
      </c>
      <c r="J649" s="12" t="n">
        <v>7865.9</v>
      </c>
      <c r="K649" s="12" t="n">
        <f aca="false">I649-J649</f>
        <v>10179.4</v>
      </c>
    </row>
    <row r="650" customFormat="false" ht="15" hidden="false" customHeight="false" outlineLevel="0" collapsed="false">
      <c r="A650" s="11" t="n">
        <v>46185</v>
      </c>
      <c r="B650" s="5" t="s">
        <v>734</v>
      </c>
      <c r="C650" s="5" t="s">
        <v>56</v>
      </c>
      <c r="D650" s="5" t="s">
        <v>57</v>
      </c>
      <c r="E650" s="5" t="s">
        <v>75</v>
      </c>
      <c r="F650" s="5" t="s">
        <v>83</v>
      </c>
      <c r="G650" s="5" t="n">
        <v>336</v>
      </c>
      <c r="H650" s="12" t="n">
        <v>4.2</v>
      </c>
      <c r="I650" s="12" t="n">
        <v>1411.2</v>
      </c>
      <c r="J650" s="12" t="n">
        <v>621.6</v>
      </c>
      <c r="K650" s="12" t="n">
        <f aca="false">I650-J650</f>
        <v>789.6</v>
      </c>
    </row>
    <row r="651" customFormat="false" ht="15" hidden="false" customHeight="false" outlineLevel="0" collapsed="false">
      <c r="A651" s="11" t="n">
        <v>46185</v>
      </c>
      <c r="B651" s="5" t="s">
        <v>735</v>
      </c>
      <c r="C651" s="5" t="s">
        <v>99</v>
      </c>
      <c r="D651" s="5" t="s">
        <v>69</v>
      </c>
      <c r="E651" s="5" t="s">
        <v>65</v>
      </c>
      <c r="F651" s="5" t="s">
        <v>88</v>
      </c>
      <c r="G651" s="5" t="n">
        <v>452</v>
      </c>
      <c r="H651" s="12" t="n">
        <v>11.04</v>
      </c>
      <c r="I651" s="12" t="n">
        <v>4990.08</v>
      </c>
      <c r="J651" s="12" t="n">
        <v>2305.2</v>
      </c>
      <c r="K651" s="12" t="n">
        <f aca="false">I651-J651</f>
        <v>2684.88</v>
      </c>
    </row>
    <row r="652" customFormat="false" ht="15" hidden="false" customHeight="false" outlineLevel="0" collapsed="false">
      <c r="A652" s="11" t="n">
        <v>46185</v>
      </c>
      <c r="B652" s="5" t="s">
        <v>736</v>
      </c>
      <c r="C652" s="5" t="s">
        <v>94</v>
      </c>
      <c r="D652" s="5" t="s">
        <v>95</v>
      </c>
      <c r="E652" s="5" t="s">
        <v>65</v>
      </c>
      <c r="F652" s="5" t="s">
        <v>88</v>
      </c>
      <c r="G652" s="5" t="n">
        <v>274</v>
      </c>
      <c r="H652" s="12" t="n">
        <v>11.5</v>
      </c>
      <c r="I652" s="12" t="n">
        <v>3151</v>
      </c>
      <c r="J652" s="12" t="n">
        <v>1397.4</v>
      </c>
      <c r="K652" s="12" t="n">
        <f aca="false">I652-J652</f>
        <v>1753.6</v>
      </c>
    </row>
    <row r="653" customFormat="false" ht="15" hidden="false" customHeight="false" outlineLevel="0" collapsed="false">
      <c r="A653" s="11" t="n">
        <v>46185</v>
      </c>
      <c r="B653" s="5" t="s">
        <v>737</v>
      </c>
      <c r="C653" s="5" t="s">
        <v>87</v>
      </c>
      <c r="D653" s="5" t="s">
        <v>64</v>
      </c>
      <c r="E653" s="5" t="s">
        <v>65</v>
      </c>
      <c r="F653" s="5" t="s">
        <v>103</v>
      </c>
      <c r="G653" s="5" t="n">
        <v>187</v>
      </c>
      <c r="H653" s="12" t="n">
        <v>15.2</v>
      </c>
      <c r="I653" s="12" t="n">
        <v>2842.4</v>
      </c>
      <c r="J653" s="12" t="n">
        <v>1271.6</v>
      </c>
      <c r="K653" s="12" t="n">
        <f aca="false">I653-J653</f>
        <v>1570.8</v>
      </c>
    </row>
    <row r="654" customFormat="false" ht="15" hidden="false" customHeight="false" outlineLevel="0" collapsed="false">
      <c r="A654" s="11" t="n">
        <v>46186</v>
      </c>
      <c r="B654" s="5" t="s">
        <v>738</v>
      </c>
      <c r="C654" s="5" t="s">
        <v>94</v>
      </c>
      <c r="D654" s="5" t="s">
        <v>95</v>
      </c>
      <c r="E654" s="5" t="s">
        <v>65</v>
      </c>
      <c r="F654" s="5" t="s">
        <v>66</v>
      </c>
      <c r="G654" s="5" t="n">
        <v>126</v>
      </c>
      <c r="H654" s="12" t="n">
        <v>24.9</v>
      </c>
      <c r="I654" s="12" t="n">
        <v>3137.4</v>
      </c>
      <c r="J654" s="12" t="n">
        <v>1436.4</v>
      </c>
      <c r="K654" s="12" t="n">
        <f aca="false">I654-J654</f>
        <v>1701</v>
      </c>
    </row>
    <row r="655" customFormat="false" ht="15" hidden="false" customHeight="false" outlineLevel="0" collapsed="false">
      <c r="A655" s="11" t="n">
        <v>46186</v>
      </c>
      <c r="B655" s="5" t="s">
        <v>739</v>
      </c>
      <c r="C655" s="5" t="s">
        <v>56</v>
      </c>
      <c r="D655" s="5" t="s">
        <v>57</v>
      </c>
      <c r="E655" s="5" t="s">
        <v>65</v>
      </c>
      <c r="F655" s="5" t="s">
        <v>103</v>
      </c>
      <c r="G655" s="5" t="n">
        <v>252</v>
      </c>
      <c r="H655" s="12" t="n">
        <v>15.2</v>
      </c>
      <c r="I655" s="12" t="n">
        <v>3830.4</v>
      </c>
      <c r="J655" s="12" t="n">
        <v>1713.6</v>
      </c>
      <c r="K655" s="12" t="n">
        <f aca="false">I655-J655</f>
        <v>2116.8</v>
      </c>
    </row>
    <row r="656" customFormat="false" ht="15" hidden="false" customHeight="false" outlineLevel="0" collapsed="false">
      <c r="A656" s="11" t="n">
        <v>46186</v>
      </c>
      <c r="B656" s="5" t="s">
        <v>740</v>
      </c>
      <c r="C656" s="5" t="s">
        <v>56</v>
      </c>
      <c r="D656" s="5" t="s">
        <v>57</v>
      </c>
      <c r="E656" s="5" t="s">
        <v>65</v>
      </c>
      <c r="F656" s="5" t="s">
        <v>103</v>
      </c>
      <c r="G656" s="5" t="n">
        <v>252</v>
      </c>
      <c r="H656" s="12" t="n">
        <v>15.2</v>
      </c>
      <c r="I656" s="12" t="n">
        <v>3830.4</v>
      </c>
      <c r="J656" s="12" t="n">
        <v>1713.6</v>
      </c>
      <c r="K656" s="12" t="n">
        <f aca="false">I656-J656</f>
        <v>2116.8</v>
      </c>
    </row>
    <row r="657" customFormat="false" ht="15" hidden="false" customHeight="false" outlineLevel="0" collapsed="false">
      <c r="A657" s="11" t="n">
        <v>46186</v>
      </c>
      <c r="B657" s="5" t="s">
        <v>741</v>
      </c>
      <c r="C657" s="5" t="s">
        <v>63</v>
      </c>
      <c r="D657" s="5" t="s">
        <v>64</v>
      </c>
      <c r="E657" s="5" t="s">
        <v>70</v>
      </c>
      <c r="F657" s="5" t="s">
        <v>90</v>
      </c>
      <c r="G657" s="5" t="n">
        <v>3779</v>
      </c>
      <c r="H657" s="12" t="n">
        <v>2.7</v>
      </c>
      <c r="I657" s="12" t="n">
        <v>10203.3</v>
      </c>
      <c r="J657" s="12" t="n">
        <v>4534.8</v>
      </c>
      <c r="K657" s="12" t="n">
        <f aca="false">I657-J657</f>
        <v>5668.5</v>
      </c>
    </row>
    <row r="658" customFormat="false" ht="15" hidden="false" customHeight="false" outlineLevel="0" collapsed="false">
      <c r="A658" s="11" t="n">
        <v>46187</v>
      </c>
      <c r="B658" s="5" t="s">
        <v>742</v>
      </c>
      <c r="C658" s="5" t="s">
        <v>87</v>
      </c>
      <c r="D658" s="5" t="s">
        <v>64</v>
      </c>
      <c r="E658" s="5" t="s">
        <v>65</v>
      </c>
      <c r="F658" s="5" t="s">
        <v>66</v>
      </c>
      <c r="G658" s="5" t="n">
        <v>114</v>
      </c>
      <c r="H658" s="12" t="n">
        <v>24.9</v>
      </c>
      <c r="I658" s="12" t="n">
        <v>2838.6</v>
      </c>
      <c r="J658" s="12" t="n">
        <v>1299.6</v>
      </c>
      <c r="K658" s="12" t="n">
        <f aca="false">I658-J658</f>
        <v>1539</v>
      </c>
    </row>
    <row r="659" customFormat="false" ht="15" hidden="false" customHeight="false" outlineLevel="0" collapsed="false">
      <c r="A659" s="11" t="n">
        <v>46187</v>
      </c>
      <c r="B659" s="5" t="s">
        <v>743</v>
      </c>
      <c r="C659" s="5" t="s">
        <v>73</v>
      </c>
      <c r="D659" s="5" t="s">
        <v>64</v>
      </c>
      <c r="E659" s="5" t="s">
        <v>70</v>
      </c>
      <c r="F659" s="5" t="s">
        <v>90</v>
      </c>
      <c r="G659" s="5" t="n">
        <v>3496</v>
      </c>
      <c r="H659" s="12" t="n">
        <v>2.59</v>
      </c>
      <c r="I659" s="12" t="n">
        <v>9054.64</v>
      </c>
      <c r="J659" s="12" t="n">
        <v>4195.2</v>
      </c>
      <c r="K659" s="12" t="n">
        <f aca="false">I659-J659</f>
        <v>4859.44</v>
      </c>
    </row>
    <row r="660" customFormat="false" ht="15" hidden="false" customHeight="false" outlineLevel="0" collapsed="false">
      <c r="A660" s="11" t="n">
        <v>46188</v>
      </c>
      <c r="B660" s="5" t="s">
        <v>744</v>
      </c>
      <c r="C660" s="5" t="s">
        <v>99</v>
      </c>
      <c r="D660" s="5" t="s">
        <v>69</v>
      </c>
      <c r="E660" s="5" t="s">
        <v>75</v>
      </c>
      <c r="F660" s="5" t="s">
        <v>78</v>
      </c>
      <c r="G660" s="5" t="n">
        <v>178</v>
      </c>
      <c r="H660" s="12" t="n">
        <v>5.86</v>
      </c>
      <c r="I660" s="12" t="n">
        <v>1043.08</v>
      </c>
      <c r="J660" s="12" t="n">
        <v>462.8</v>
      </c>
      <c r="K660" s="12" t="n">
        <f aca="false">I660-J660</f>
        <v>580.28</v>
      </c>
    </row>
    <row r="661" customFormat="false" ht="15" hidden="false" customHeight="false" outlineLevel="0" collapsed="false">
      <c r="A661" s="11" t="n">
        <v>46188</v>
      </c>
      <c r="B661" s="5" t="s">
        <v>745</v>
      </c>
      <c r="C661" s="5" t="s">
        <v>73</v>
      </c>
      <c r="D661" s="5" t="s">
        <v>64</v>
      </c>
      <c r="E661" s="5" t="s">
        <v>75</v>
      </c>
      <c r="F661" s="5" t="s">
        <v>83</v>
      </c>
      <c r="G661" s="5" t="n">
        <v>368</v>
      </c>
      <c r="H661" s="12" t="n">
        <v>4.03</v>
      </c>
      <c r="I661" s="12" t="n">
        <v>1483.04</v>
      </c>
      <c r="J661" s="12" t="n">
        <v>680.8</v>
      </c>
      <c r="K661" s="12" t="n">
        <f aca="false">I661-J661</f>
        <v>802.24</v>
      </c>
    </row>
    <row r="662" customFormat="false" ht="15" hidden="false" customHeight="false" outlineLevel="0" collapsed="false">
      <c r="A662" s="11" t="n">
        <v>46188</v>
      </c>
      <c r="B662" s="5" t="s">
        <v>746</v>
      </c>
      <c r="C662" s="5" t="s">
        <v>115</v>
      </c>
      <c r="D662" s="5" t="s">
        <v>69</v>
      </c>
      <c r="E662" s="5" t="s">
        <v>75</v>
      </c>
      <c r="F662" s="5" t="s">
        <v>83</v>
      </c>
      <c r="G662" s="5" t="n">
        <v>208</v>
      </c>
      <c r="H662" s="12" t="n">
        <v>4.2</v>
      </c>
      <c r="I662" s="12" t="n">
        <v>873.6</v>
      </c>
      <c r="J662" s="12" t="n">
        <v>384.8</v>
      </c>
      <c r="K662" s="12" t="n">
        <f aca="false">I662-J662</f>
        <v>488.8</v>
      </c>
    </row>
    <row r="663" customFormat="false" ht="15" hidden="false" customHeight="false" outlineLevel="0" collapsed="false">
      <c r="A663" s="11" t="n">
        <v>46188</v>
      </c>
      <c r="B663" s="5" t="s">
        <v>747</v>
      </c>
      <c r="C663" s="5" t="s">
        <v>56</v>
      </c>
      <c r="D663" s="5" t="s">
        <v>57</v>
      </c>
      <c r="E663" s="5" t="s">
        <v>75</v>
      </c>
      <c r="F663" s="5" t="s">
        <v>83</v>
      </c>
      <c r="G663" s="5" t="n">
        <v>336</v>
      </c>
      <c r="H663" s="12" t="n">
        <v>4.2</v>
      </c>
      <c r="I663" s="12" t="n">
        <v>1411.2</v>
      </c>
      <c r="J663" s="12" t="n">
        <v>621.6</v>
      </c>
      <c r="K663" s="12" t="n">
        <f aca="false">I663-J663</f>
        <v>789.6</v>
      </c>
    </row>
    <row r="664" customFormat="false" ht="15" hidden="false" customHeight="false" outlineLevel="0" collapsed="false">
      <c r="A664" s="11" t="n">
        <v>46188</v>
      </c>
      <c r="B664" s="5" t="s">
        <v>748</v>
      </c>
      <c r="C664" s="5" t="s">
        <v>115</v>
      </c>
      <c r="D664" s="5" t="s">
        <v>69</v>
      </c>
      <c r="E664" s="5" t="s">
        <v>65</v>
      </c>
      <c r="F664" s="5" t="s">
        <v>66</v>
      </c>
      <c r="G664" s="5" t="n">
        <v>123</v>
      </c>
      <c r="H664" s="12" t="n">
        <v>24.9</v>
      </c>
      <c r="I664" s="12" t="n">
        <v>3062.7</v>
      </c>
      <c r="J664" s="12" t="n">
        <v>1402.2</v>
      </c>
      <c r="K664" s="12" t="n">
        <f aca="false">I664-J664</f>
        <v>1660.5</v>
      </c>
    </row>
    <row r="665" customFormat="false" ht="15" hidden="false" customHeight="false" outlineLevel="0" collapsed="false">
      <c r="A665" s="11" t="n">
        <v>46188</v>
      </c>
      <c r="B665" s="5" t="s">
        <v>749</v>
      </c>
      <c r="C665" s="5" t="s">
        <v>94</v>
      </c>
      <c r="D665" s="5" t="s">
        <v>95</v>
      </c>
      <c r="E665" s="5" t="s">
        <v>70</v>
      </c>
      <c r="F665" s="5" t="s">
        <v>71</v>
      </c>
      <c r="G665" s="5" t="n">
        <v>2627</v>
      </c>
      <c r="H665" s="12" t="n">
        <v>2.95</v>
      </c>
      <c r="I665" s="12" t="n">
        <v>7749.65</v>
      </c>
      <c r="J665" s="12" t="n">
        <v>3415.1</v>
      </c>
      <c r="K665" s="12" t="n">
        <f aca="false">I665-J665</f>
        <v>4334.55</v>
      </c>
    </row>
    <row r="666" customFormat="false" ht="15" hidden="false" customHeight="false" outlineLevel="0" collapsed="false">
      <c r="A666" s="11" t="n">
        <v>46189</v>
      </c>
      <c r="B666" s="5" t="s">
        <v>750</v>
      </c>
      <c r="C666" s="5" t="s">
        <v>99</v>
      </c>
      <c r="D666" s="5" t="s">
        <v>69</v>
      </c>
      <c r="E666" s="5" t="s">
        <v>58</v>
      </c>
      <c r="F666" s="5" t="s">
        <v>117</v>
      </c>
      <c r="G666" s="5" t="n">
        <v>6956</v>
      </c>
      <c r="H666" s="12" t="n">
        <v>3.26</v>
      </c>
      <c r="I666" s="12" t="n">
        <v>22676.56</v>
      </c>
      <c r="J666" s="12" t="n">
        <v>10086.2</v>
      </c>
      <c r="K666" s="12" t="n">
        <f aca="false">I666-J666</f>
        <v>12590.36</v>
      </c>
    </row>
    <row r="667" customFormat="false" ht="15" hidden="false" customHeight="false" outlineLevel="0" collapsed="false">
      <c r="A667" s="11" t="n">
        <v>46189</v>
      </c>
      <c r="B667" s="5" t="s">
        <v>751</v>
      </c>
      <c r="C667" s="5" t="s">
        <v>68</v>
      </c>
      <c r="D667" s="5" t="s">
        <v>69</v>
      </c>
      <c r="E667" s="5" t="s">
        <v>58</v>
      </c>
      <c r="F667" s="5" t="s">
        <v>117</v>
      </c>
      <c r="G667" s="5" t="n">
        <v>1152</v>
      </c>
      <c r="H667" s="12" t="n">
        <v>3.4</v>
      </c>
      <c r="I667" s="12" t="n">
        <v>3916.8</v>
      </c>
      <c r="J667" s="12" t="n">
        <v>1670.4</v>
      </c>
      <c r="K667" s="12" t="n">
        <f aca="false">I667-J667</f>
        <v>2246.4</v>
      </c>
    </row>
    <row r="668" customFormat="false" ht="15" hidden="false" customHeight="false" outlineLevel="0" collapsed="false">
      <c r="A668" s="11" t="n">
        <v>46189</v>
      </c>
      <c r="B668" s="5" t="s">
        <v>752</v>
      </c>
      <c r="C668" s="5" t="s">
        <v>85</v>
      </c>
      <c r="D668" s="5" t="s">
        <v>69</v>
      </c>
      <c r="E668" s="5" t="s">
        <v>75</v>
      </c>
      <c r="F668" s="5" t="s">
        <v>76</v>
      </c>
      <c r="G668" s="5" t="n">
        <v>84</v>
      </c>
      <c r="H668" s="12" t="n">
        <v>4.8</v>
      </c>
      <c r="I668" s="12" t="n">
        <v>403.2</v>
      </c>
      <c r="J668" s="12" t="n">
        <v>172.2</v>
      </c>
      <c r="K668" s="12" t="n">
        <f aca="false">I668-J668</f>
        <v>231</v>
      </c>
    </row>
    <row r="669" customFormat="false" ht="15" hidden="false" customHeight="false" outlineLevel="0" collapsed="false">
      <c r="A669" s="11" t="n">
        <v>46189</v>
      </c>
      <c r="B669" s="5" t="s">
        <v>753</v>
      </c>
      <c r="C669" s="5" t="s">
        <v>85</v>
      </c>
      <c r="D669" s="5" t="s">
        <v>69</v>
      </c>
      <c r="E669" s="5" t="s">
        <v>65</v>
      </c>
      <c r="F669" s="5" t="s">
        <v>88</v>
      </c>
      <c r="G669" s="5" t="n">
        <v>218</v>
      </c>
      <c r="H669" s="12" t="n">
        <v>11.5</v>
      </c>
      <c r="I669" s="12" t="n">
        <v>2507</v>
      </c>
      <c r="J669" s="12" t="n">
        <v>1111.8</v>
      </c>
      <c r="K669" s="12" t="n">
        <f aca="false">I669-J669</f>
        <v>1395.2</v>
      </c>
    </row>
    <row r="670" customFormat="false" ht="15" hidden="false" customHeight="false" outlineLevel="0" collapsed="false">
      <c r="A670" s="11" t="n">
        <v>46189</v>
      </c>
      <c r="B670" s="5" t="s">
        <v>754</v>
      </c>
      <c r="C670" s="5" t="s">
        <v>99</v>
      </c>
      <c r="D670" s="5" t="s">
        <v>69</v>
      </c>
      <c r="E670" s="5" t="s">
        <v>70</v>
      </c>
      <c r="F670" s="5" t="s">
        <v>71</v>
      </c>
      <c r="G670" s="5" t="n">
        <v>1851</v>
      </c>
      <c r="H670" s="12" t="n">
        <v>2.83</v>
      </c>
      <c r="I670" s="12" t="n">
        <v>5238.33</v>
      </c>
      <c r="J670" s="12" t="n">
        <v>2406.3</v>
      </c>
      <c r="K670" s="12" t="n">
        <f aca="false">I670-J670</f>
        <v>2832.03</v>
      </c>
    </row>
    <row r="671" customFormat="false" ht="15" hidden="false" customHeight="false" outlineLevel="0" collapsed="false">
      <c r="A671" s="11" t="n">
        <v>46190</v>
      </c>
      <c r="B671" s="5" t="s">
        <v>755</v>
      </c>
      <c r="C671" s="5" t="s">
        <v>94</v>
      </c>
      <c r="D671" s="5" t="s">
        <v>95</v>
      </c>
      <c r="E671" s="5" t="s">
        <v>58</v>
      </c>
      <c r="F671" s="5" t="s">
        <v>61</v>
      </c>
      <c r="G671" s="5" t="n">
        <v>665</v>
      </c>
      <c r="H671" s="12" t="n">
        <v>24.5</v>
      </c>
      <c r="I671" s="12" t="n">
        <v>16292.5</v>
      </c>
      <c r="J671" s="12" t="n">
        <v>7847</v>
      </c>
      <c r="K671" s="12" t="n">
        <f aca="false">I671-J671</f>
        <v>8445.5</v>
      </c>
    </row>
    <row r="672" customFormat="false" ht="15" hidden="false" customHeight="false" outlineLevel="0" collapsed="false">
      <c r="A672" s="11" t="n">
        <v>46190</v>
      </c>
      <c r="B672" s="5" t="s">
        <v>756</v>
      </c>
      <c r="C672" s="5" t="s">
        <v>73</v>
      </c>
      <c r="D672" s="5" t="s">
        <v>64</v>
      </c>
      <c r="E672" s="5" t="s">
        <v>75</v>
      </c>
      <c r="F672" s="5" t="s">
        <v>78</v>
      </c>
      <c r="G672" s="5" t="n">
        <v>253</v>
      </c>
      <c r="H672" s="12" t="n">
        <v>5.86</v>
      </c>
      <c r="I672" s="12" t="n">
        <v>1482.58</v>
      </c>
      <c r="J672" s="12" t="n">
        <v>657.8</v>
      </c>
      <c r="K672" s="12" t="n">
        <f aca="false">I672-J672</f>
        <v>824.78</v>
      </c>
    </row>
    <row r="673" customFormat="false" ht="15" hidden="false" customHeight="false" outlineLevel="0" collapsed="false">
      <c r="A673" s="11" t="n">
        <v>46190</v>
      </c>
      <c r="B673" s="5" t="s">
        <v>757</v>
      </c>
      <c r="C673" s="5" t="s">
        <v>87</v>
      </c>
      <c r="D673" s="5" t="s">
        <v>64</v>
      </c>
      <c r="E673" s="5" t="s">
        <v>75</v>
      </c>
      <c r="F673" s="5" t="s">
        <v>83</v>
      </c>
      <c r="G673" s="5" t="n">
        <v>187</v>
      </c>
      <c r="H673" s="12" t="n">
        <v>4.2</v>
      </c>
      <c r="I673" s="12" t="n">
        <v>785.4</v>
      </c>
      <c r="J673" s="12" t="n">
        <v>345.95</v>
      </c>
      <c r="K673" s="12" t="n">
        <f aca="false">I673-J673</f>
        <v>439.45</v>
      </c>
    </row>
    <row r="674" customFormat="false" ht="15" hidden="false" customHeight="false" outlineLevel="0" collapsed="false">
      <c r="A674" s="11" t="n">
        <v>46190</v>
      </c>
      <c r="B674" s="5" t="s">
        <v>758</v>
      </c>
      <c r="C674" s="5" t="s">
        <v>81</v>
      </c>
      <c r="D674" s="5" t="s">
        <v>64</v>
      </c>
      <c r="E674" s="5" t="s">
        <v>65</v>
      </c>
      <c r="F674" s="5" t="s">
        <v>88</v>
      </c>
      <c r="G674" s="5" t="n">
        <v>943</v>
      </c>
      <c r="H674" s="12" t="n">
        <v>11.5</v>
      </c>
      <c r="I674" s="12" t="n">
        <v>10844.5</v>
      </c>
      <c r="J674" s="12" t="n">
        <v>4809.3</v>
      </c>
      <c r="K674" s="12" t="n">
        <f aca="false">I674-J674</f>
        <v>6035.2</v>
      </c>
    </row>
    <row r="675" customFormat="false" ht="15" hidden="false" customHeight="false" outlineLevel="0" collapsed="false">
      <c r="A675" s="11" t="n">
        <v>46190</v>
      </c>
      <c r="B675" s="5" t="s">
        <v>759</v>
      </c>
      <c r="C675" s="5" t="s">
        <v>94</v>
      </c>
      <c r="D675" s="5" t="s">
        <v>95</v>
      </c>
      <c r="E675" s="5" t="s">
        <v>65</v>
      </c>
      <c r="F675" s="5" t="s">
        <v>66</v>
      </c>
      <c r="G675" s="5" t="n">
        <v>126</v>
      </c>
      <c r="H675" s="12" t="n">
        <v>24.9</v>
      </c>
      <c r="I675" s="12" t="n">
        <v>3137.4</v>
      </c>
      <c r="J675" s="12" t="n">
        <v>1436.4</v>
      </c>
      <c r="K675" s="12" t="n">
        <f aca="false">I675-J675</f>
        <v>1701</v>
      </c>
    </row>
    <row r="676" customFormat="false" ht="15" hidden="false" customHeight="false" outlineLevel="0" collapsed="false">
      <c r="A676" s="11" t="n">
        <v>46190</v>
      </c>
      <c r="B676" s="5" t="s">
        <v>760</v>
      </c>
      <c r="C676" s="5" t="s">
        <v>73</v>
      </c>
      <c r="D676" s="5" t="s">
        <v>64</v>
      </c>
      <c r="E676" s="5" t="s">
        <v>70</v>
      </c>
      <c r="F676" s="5" t="s">
        <v>92</v>
      </c>
      <c r="G676" s="5" t="n">
        <v>3937</v>
      </c>
      <c r="H676" s="12" t="n">
        <v>2.3</v>
      </c>
      <c r="I676" s="12" t="n">
        <v>9055.1</v>
      </c>
      <c r="J676" s="12" t="n">
        <v>3740.15</v>
      </c>
      <c r="K676" s="12" t="n">
        <f aca="false">I676-J676</f>
        <v>5314.95</v>
      </c>
    </row>
    <row r="677" customFormat="false" ht="15" hidden="false" customHeight="false" outlineLevel="0" collapsed="false">
      <c r="A677" s="11" t="n">
        <v>46190</v>
      </c>
      <c r="B677" s="5" t="s">
        <v>761</v>
      </c>
      <c r="C677" s="5" t="s">
        <v>56</v>
      </c>
      <c r="D677" s="5" t="s">
        <v>57</v>
      </c>
      <c r="E677" s="5" t="s">
        <v>70</v>
      </c>
      <c r="F677" s="5" t="s">
        <v>90</v>
      </c>
      <c r="G677" s="5" t="n">
        <v>2078</v>
      </c>
      <c r="H677" s="12" t="n">
        <v>2.7</v>
      </c>
      <c r="I677" s="12" t="n">
        <v>5610.6</v>
      </c>
      <c r="J677" s="12" t="n">
        <v>2493.6</v>
      </c>
      <c r="K677" s="12" t="n">
        <f aca="false">I677-J677</f>
        <v>3117</v>
      </c>
    </row>
    <row r="678" customFormat="false" ht="15" hidden="false" customHeight="false" outlineLevel="0" collapsed="false">
      <c r="A678" s="11" t="n">
        <v>46191</v>
      </c>
      <c r="B678" s="5" t="s">
        <v>762</v>
      </c>
      <c r="C678" s="5" t="s">
        <v>56</v>
      </c>
      <c r="D678" s="5" t="s">
        <v>57</v>
      </c>
      <c r="E678" s="5" t="s">
        <v>58</v>
      </c>
      <c r="F678" s="5" t="s">
        <v>61</v>
      </c>
      <c r="G678" s="5" t="n">
        <v>478</v>
      </c>
      <c r="H678" s="12" t="n">
        <v>24.5</v>
      </c>
      <c r="I678" s="12" t="n">
        <v>11711</v>
      </c>
      <c r="J678" s="12" t="n">
        <v>5640.4</v>
      </c>
      <c r="K678" s="12" t="n">
        <f aca="false">I678-J678</f>
        <v>6070.6</v>
      </c>
    </row>
    <row r="679" customFormat="false" ht="15" hidden="false" customHeight="false" outlineLevel="0" collapsed="false">
      <c r="A679" s="11" t="n">
        <v>46191</v>
      </c>
      <c r="B679" s="5" t="s">
        <v>763</v>
      </c>
      <c r="C679" s="5" t="s">
        <v>73</v>
      </c>
      <c r="D679" s="5" t="s">
        <v>64</v>
      </c>
      <c r="E679" s="5" t="s">
        <v>75</v>
      </c>
      <c r="F679" s="5" t="s">
        <v>83</v>
      </c>
      <c r="G679" s="5" t="n">
        <v>368</v>
      </c>
      <c r="H679" s="12" t="n">
        <v>4.03</v>
      </c>
      <c r="I679" s="12" t="n">
        <v>1483.04</v>
      </c>
      <c r="J679" s="12" t="n">
        <v>680.8</v>
      </c>
      <c r="K679" s="12" t="n">
        <f aca="false">I679-J679</f>
        <v>802.24</v>
      </c>
    </row>
    <row r="680" customFormat="false" ht="15" hidden="false" customHeight="false" outlineLevel="0" collapsed="false">
      <c r="A680" s="11" t="n">
        <v>46191</v>
      </c>
      <c r="B680" s="5" t="s">
        <v>764</v>
      </c>
      <c r="C680" s="5" t="s">
        <v>99</v>
      </c>
      <c r="D680" s="5" t="s">
        <v>69</v>
      </c>
      <c r="E680" s="5" t="s">
        <v>70</v>
      </c>
      <c r="F680" s="5" t="s">
        <v>71</v>
      </c>
      <c r="G680" s="5" t="n">
        <v>1851</v>
      </c>
      <c r="H680" s="12" t="n">
        <v>2.83</v>
      </c>
      <c r="I680" s="12" t="n">
        <v>5238.33</v>
      </c>
      <c r="J680" s="12" t="n">
        <v>2406.3</v>
      </c>
      <c r="K680" s="12" t="n">
        <f aca="false">I680-J680</f>
        <v>2832.03</v>
      </c>
    </row>
    <row r="681" customFormat="false" ht="15" hidden="false" customHeight="false" outlineLevel="0" collapsed="false">
      <c r="A681" s="11" t="n">
        <v>46191</v>
      </c>
      <c r="B681" s="5" t="s">
        <v>765</v>
      </c>
      <c r="C681" s="5" t="s">
        <v>94</v>
      </c>
      <c r="D681" s="5" t="s">
        <v>95</v>
      </c>
      <c r="E681" s="5" t="s">
        <v>70</v>
      </c>
      <c r="F681" s="5" t="s">
        <v>71</v>
      </c>
      <c r="G681" s="5" t="n">
        <v>2627</v>
      </c>
      <c r="H681" s="12" t="n">
        <v>2.95</v>
      </c>
      <c r="I681" s="12" t="n">
        <v>7749.65</v>
      </c>
      <c r="J681" s="12" t="n">
        <v>3415.1</v>
      </c>
      <c r="K681" s="12" t="n">
        <f aca="false">I681-J681</f>
        <v>4334.55</v>
      </c>
    </row>
    <row r="682" customFormat="false" ht="15" hidden="false" customHeight="false" outlineLevel="0" collapsed="false">
      <c r="A682" s="11" t="n">
        <v>46191</v>
      </c>
      <c r="B682" s="5" t="s">
        <v>766</v>
      </c>
      <c r="C682" s="5" t="s">
        <v>87</v>
      </c>
      <c r="D682" s="5" t="s">
        <v>64</v>
      </c>
      <c r="E682" s="5" t="s">
        <v>70</v>
      </c>
      <c r="F682" s="5" t="s">
        <v>71</v>
      </c>
      <c r="G682" s="5" t="n">
        <v>2286</v>
      </c>
      <c r="H682" s="12" t="n">
        <v>2.95</v>
      </c>
      <c r="I682" s="12" t="n">
        <v>6743.7</v>
      </c>
      <c r="J682" s="12" t="n">
        <v>2971.8</v>
      </c>
      <c r="K682" s="12" t="n">
        <f aca="false">I682-J682</f>
        <v>3771.9</v>
      </c>
    </row>
    <row r="683" customFormat="false" ht="15" hidden="false" customHeight="false" outlineLevel="0" collapsed="false">
      <c r="A683" s="11" t="n">
        <v>46193</v>
      </c>
      <c r="B683" s="5" t="s">
        <v>767</v>
      </c>
      <c r="C683" s="5" t="s">
        <v>85</v>
      </c>
      <c r="D683" s="5" t="s">
        <v>69</v>
      </c>
      <c r="E683" s="5" t="s">
        <v>58</v>
      </c>
      <c r="F683" s="5" t="s">
        <v>61</v>
      </c>
      <c r="G683" s="5" t="n">
        <v>263</v>
      </c>
      <c r="H683" s="12" t="n">
        <v>24.5</v>
      </c>
      <c r="I683" s="12" t="n">
        <v>6443.5</v>
      </c>
      <c r="J683" s="12" t="n">
        <v>3103.4</v>
      </c>
      <c r="K683" s="12" t="n">
        <f aca="false">I683-J683</f>
        <v>3340.1</v>
      </c>
    </row>
    <row r="684" customFormat="false" ht="15" hidden="false" customHeight="false" outlineLevel="0" collapsed="false">
      <c r="A684" s="11" t="n">
        <v>46193</v>
      </c>
      <c r="B684" s="5" t="s">
        <v>768</v>
      </c>
      <c r="C684" s="5" t="s">
        <v>56</v>
      </c>
      <c r="D684" s="5" t="s">
        <v>57</v>
      </c>
      <c r="E684" s="5" t="s">
        <v>58</v>
      </c>
      <c r="F684" s="5" t="s">
        <v>61</v>
      </c>
      <c r="G684" s="5" t="n">
        <v>478</v>
      </c>
      <c r="H684" s="12" t="n">
        <v>24.5</v>
      </c>
      <c r="I684" s="12" t="n">
        <v>11711</v>
      </c>
      <c r="J684" s="12" t="n">
        <v>5640.4</v>
      </c>
      <c r="K684" s="12" t="n">
        <f aca="false">I684-J684</f>
        <v>6070.6</v>
      </c>
    </row>
    <row r="685" customFormat="false" ht="15" hidden="false" customHeight="false" outlineLevel="0" collapsed="false">
      <c r="A685" s="11" t="n">
        <v>46193</v>
      </c>
      <c r="B685" s="5" t="s">
        <v>769</v>
      </c>
      <c r="C685" s="5" t="s">
        <v>73</v>
      </c>
      <c r="D685" s="5" t="s">
        <v>64</v>
      </c>
      <c r="E685" s="5" t="s">
        <v>65</v>
      </c>
      <c r="F685" s="5" t="s">
        <v>103</v>
      </c>
      <c r="G685" s="5" t="n">
        <v>386</v>
      </c>
      <c r="H685" s="12" t="n">
        <v>14.59</v>
      </c>
      <c r="I685" s="12" t="n">
        <v>5631.74</v>
      </c>
      <c r="J685" s="12" t="n">
        <v>2624.8</v>
      </c>
      <c r="K685" s="12" t="n">
        <f aca="false">I685-J685</f>
        <v>3006.94</v>
      </c>
    </row>
    <row r="686" customFormat="false" ht="15" hidden="false" customHeight="false" outlineLevel="0" collapsed="false">
      <c r="A686" s="11" t="n">
        <v>46193</v>
      </c>
      <c r="B686" s="5" t="s">
        <v>770</v>
      </c>
      <c r="C686" s="5" t="s">
        <v>87</v>
      </c>
      <c r="D686" s="5" t="s">
        <v>64</v>
      </c>
      <c r="E686" s="5" t="s">
        <v>65</v>
      </c>
      <c r="F686" s="5" t="s">
        <v>88</v>
      </c>
      <c r="G686" s="5" t="n">
        <v>248</v>
      </c>
      <c r="H686" s="12" t="n">
        <v>11.5</v>
      </c>
      <c r="I686" s="12" t="n">
        <v>2852</v>
      </c>
      <c r="J686" s="12" t="n">
        <v>1264.8</v>
      </c>
      <c r="K686" s="12" t="n">
        <f aca="false">I686-J686</f>
        <v>1587.2</v>
      </c>
    </row>
    <row r="687" customFormat="false" ht="15" hidden="false" customHeight="false" outlineLevel="0" collapsed="false">
      <c r="A687" s="11" t="n">
        <v>46193</v>
      </c>
      <c r="B687" s="5" t="s">
        <v>771</v>
      </c>
      <c r="C687" s="5" t="s">
        <v>99</v>
      </c>
      <c r="D687" s="5" t="s">
        <v>69</v>
      </c>
      <c r="E687" s="5" t="s">
        <v>70</v>
      </c>
      <c r="F687" s="5" t="s">
        <v>71</v>
      </c>
      <c r="G687" s="5" t="n">
        <v>1851</v>
      </c>
      <c r="H687" s="12" t="n">
        <v>2.83</v>
      </c>
      <c r="I687" s="12" t="n">
        <v>5238.33</v>
      </c>
      <c r="J687" s="12" t="n">
        <v>2406.3</v>
      </c>
      <c r="K687" s="12" t="n">
        <f aca="false">I687-J687</f>
        <v>2832.03</v>
      </c>
    </row>
    <row r="688" customFormat="false" ht="15" hidden="false" customHeight="false" outlineLevel="0" collapsed="false">
      <c r="A688" s="11" t="n">
        <v>46193</v>
      </c>
      <c r="B688" s="5" t="s">
        <v>772</v>
      </c>
      <c r="C688" s="5" t="s">
        <v>115</v>
      </c>
      <c r="D688" s="5" t="s">
        <v>69</v>
      </c>
      <c r="E688" s="5" t="s">
        <v>70</v>
      </c>
      <c r="F688" s="5" t="s">
        <v>71</v>
      </c>
      <c r="G688" s="5" t="n">
        <v>1029</v>
      </c>
      <c r="H688" s="12" t="n">
        <v>2.95</v>
      </c>
      <c r="I688" s="12" t="n">
        <v>3035.55</v>
      </c>
      <c r="J688" s="12" t="n">
        <v>1337.7</v>
      </c>
      <c r="K688" s="12" t="n">
        <f aca="false">I688-J688</f>
        <v>1697.85</v>
      </c>
    </row>
    <row r="689" customFormat="false" ht="15" hidden="false" customHeight="false" outlineLevel="0" collapsed="false">
      <c r="A689" s="11" t="n">
        <v>46194</v>
      </c>
      <c r="B689" s="5" t="s">
        <v>773</v>
      </c>
      <c r="C689" s="5" t="s">
        <v>94</v>
      </c>
      <c r="D689" s="5" t="s">
        <v>95</v>
      </c>
      <c r="E689" s="5" t="s">
        <v>58</v>
      </c>
      <c r="F689" s="5" t="s">
        <v>61</v>
      </c>
      <c r="G689" s="5" t="n">
        <v>665</v>
      </c>
      <c r="H689" s="12" t="n">
        <v>24.5</v>
      </c>
      <c r="I689" s="12" t="n">
        <v>16292.5</v>
      </c>
      <c r="J689" s="12" t="n">
        <v>7847</v>
      </c>
      <c r="K689" s="12" t="n">
        <f aca="false">I689-J689</f>
        <v>8445.5</v>
      </c>
    </row>
    <row r="690" customFormat="false" ht="15" hidden="false" customHeight="false" outlineLevel="0" collapsed="false">
      <c r="A690" s="11" t="n">
        <v>46194</v>
      </c>
      <c r="B690" s="5" t="s">
        <v>774</v>
      </c>
      <c r="C690" s="5" t="s">
        <v>115</v>
      </c>
      <c r="D690" s="5" t="s">
        <v>69</v>
      </c>
      <c r="E690" s="5" t="s">
        <v>58</v>
      </c>
      <c r="F690" s="5" t="s">
        <v>59</v>
      </c>
      <c r="G690" s="5" t="n">
        <v>1931</v>
      </c>
      <c r="H690" s="12" t="n">
        <v>3.9</v>
      </c>
      <c r="I690" s="12" t="n">
        <v>7530.9</v>
      </c>
      <c r="J690" s="12" t="n">
        <v>3282.7</v>
      </c>
      <c r="K690" s="12" t="n">
        <f aca="false">I690-J690</f>
        <v>4248.2</v>
      </c>
    </row>
    <row r="691" customFormat="false" ht="15" hidden="false" customHeight="false" outlineLevel="0" collapsed="false">
      <c r="A691" s="11" t="n">
        <v>46194</v>
      </c>
      <c r="B691" s="5" t="s">
        <v>775</v>
      </c>
      <c r="C691" s="5" t="s">
        <v>63</v>
      </c>
      <c r="D691" s="5" t="s">
        <v>64</v>
      </c>
      <c r="E691" s="5" t="s">
        <v>75</v>
      </c>
      <c r="F691" s="5" t="s">
        <v>83</v>
      </c>
      <c r="G691" s="5" t="n">
        <v>748</v>
      </c>
      <c r="H691" s="12" t="n">
        <v>4.2</v>
      </c>
      <c r="I691" s="12" t="n">
        <v>3141.6</v>
      </c>
      <c r="J691" s="12" t="n">
        <v>1383.8</v>
      </c>
      <c r="K691" s="12" t="n">
        <f aca="false">I691-J691</f>
        <v>1757.8</v>
      </c>
    </row>
    <row r="692" customFormat="false" ht="15" hidden="false" customHeight="false" outlineLevel="0" collapsed="false">
      <c r="A692" s="11" t="n">
        <v>46194</v>
      </c>
      <c r="B692" s="5" t="s">
        <v>776</v>
      </c>
      <c r="C692" s="5" t="s">
        <v>81</v>
      </c>
      <c r="D692" s="5" t="s">
        <v>64</v>
      </c>
      <c r="E692" s="5" t="s">
        <v>65</v>
      </c>
      <c r="F692" s="5" t="s">
        <v>103</v>
      </c>
      <c r="G692" s="5" t="n">
        <v>713</v>
      </c>
      <c r="H692" s="12" t="n">
        <v>15.2</v>
      </c>
      <c r="I692" s="12" t="n">
        <v>10837.6</v>
      </c>
      <c r="J692" s="12" t="n">
        <v>4848.4</v>
      </c>
      <c r="K692" s="12" t="n">
        <f aca="false">I692-J692</f>
        <v>5989.2</v>
      </c>
    </row>
    <row r="693" customFormat="false" ht="15" hidden="false" customHeight="false" outlineLevel="0" collapsed="false">
      <c r="A693" s="11" t="n">
        <v>46195</v>
      </c>
      <c r="B693" s="5" t="s">
        <v>777</v>
      </c>
      <c r="C693" s="5" t="s">
        <v>81</v>
      </c>
      <c r="D693" s="5" t="s">
        <v>64</v>
      </c>
      <c r="E693" s="5" t="s">
        <v>75</v>
      </c>
      <c r="F693" s="5" t="s">
        <v>83</v>
      </c>
      <c r="G693" s="5" t="n">
        <v>586</v>
      </c>
      <c r="H693" s="12" t="n">
        <v>4.2</v>
      </c>
      <c r="I693" s="12" t="n">
        <v>2461.2</v>
      </c>
      <c r="J693" s="12" t="n">
        <v>1084.1</v>
      </c>
      <c r="K693" s="12" t="n">
        <f aca="false">I693-J693</f>
        <v>1377.1</v>
      </c>
    </row>
    <row r="694" customFormat="false" ht="15" hidden="false" customHeight="false" outlineLevel="0" collapsed="false">
      <c r="A694" s="11" t="n">
        <v>46195</v>
      </c>
      <c r="B694" s="5" t="s">
        <v>778</v>
      </c>
      <c r="C694" s="5" t="s">
        <v>99</v>
      </c>
      <c r="D694" s="5" t="s">
        <v>69</v>
      </c>
      <c r="E694" s="5" t="s">
        <v>65</v>
      </c>
      <c r="F694" s="5" t="s">
        <v>66</v>
      </c>
      <c r="G694" s="5" t="n">
        <v>208</v>
      </c>
      <c r="H694" s="12" t="n">
        <v>23.9</v>
      </c>
      <c r="I694" s="12" t="n">
        <v>4971.2</v>
      </c>
      <c r="J694" s="12" t="n">
        <v>2371.2</v>
      </c>
      <c r="K694" s="12" t="n">
        <f aca="false">I694-J694</f>
        <v>2600</v>
      </c>
    </row>
    <row r="695" customFormat="false" ht="15" hidden="false" customHeight="false" outlineLevel="0" collapsed="false">
      <c r="A695" s="11" t="n">
        <v>46195</v>
      </c>
      <c r="B695" s="5" t="s">
        <v>779</v>
      </c>
      <c r="C695" s="5" t="s">
        <v>63</v>
      </c>
      <c r="D695" s="5" t="s">
        <v>64</v>
      </c>
      <c r="E695" s="5" t="s">
        <v>65</v>
      </c>
      <c r="F695" s="5" t="s">
        <v>88</v>
      </c>
      <c r="G695" s="5" t="n">
        <v>1248</v>
      </c>
      <c r="H695" s="12" t="n">
        <v>11.5</v>
      </c>
      <c r="I695" s="12" t="n">
        <v>14352</v>
      </c>
      <c r="J695" s="12" t="n">
        <v>6364.8</v>
      </c>
      <c r="K695" s="12" t="n">
        <f aca="false">I695-J695</f>
        <v>7987.2</v>
      </c>
    </row>
    <row r="696" customFormat="false" ht="15" hidden="false" customHeight="false" outlineLevel="0" collapsed="false">
      <c r="A696" s="11" t="n">
        <v>46195</v>
      </c>
      <c r="B696" s="5" t="s">
        <v>780</v>
      </c>
      <c r="C696" s="5" t="s">
        <v>56</v>
      </c>
      <c r="D696" s="5" t="s">
        <v>57</v>
      </c>
      <c r="E696" s="5" t="s">
        <v>65</v>
      </c>
      <c r="F696" s="5" t="s">
        <v>103</v>
      </c>
      <c r="G696" s="5" t="n">
        <v>252</v>
      </c>
      <c r="H696" s="12" t="n">
        <v>15.2</v>
      </c>
      <c r="I696" s="12" t="n">
        <v>3830.4</v>
      </c>
      <c r="J696" s="12" t="n">
        <v>1713.6</v>
      </c>
      <c r="K696" s="12" t="n">
        <f aca="false">I696-J696</f>
        <v>2116.8</v>
      </c>
    </row>
    <row r="697" customFormat="false" ht="15" hidden="false" customHeight="false" outlineLevel="0" collapsed="false">
      <c r="A697" s="11" t="n">
        <v>46195</v>
      </c>
      <c r="B697" s="5" t="s">
        <v>781</v>
      </c>
      <c r="C697" s="5" t="s">
        <v>56</v>
      </c>
      <c r="D697" s="5" t="s">
        <v>57</v>
      </c>
      <c r="E697" s="5" t="s">
        <v>70</v>
      </c>
      <c r="F697" s="5" t="s">
        <v>92</v>
      </c>
      <c r="G697" s="5" t="n">
        <v>2338</v>
      </c>
      <c r="H697" s="12" t="n">
        <v>2.4</v>
      </c>
      <c r="I697" s="12" t="n">
        <v>5611.2</v>
      </c>
      <c r="J697" s="12" t="n">
        <v>2221.1</v>
      </c>
      <c r="K697" s="12" t="n">
        <f aca="false">I697-J697</f>
        <v>3390.1</v>
      </c>
    </row>
    <row r="698" customFormat="false" ht="15" hidden="false" customHeight="false" outlineLevel="0" collapsed="false">
      <c r="A698" s="11" t="n">
        <v>46196</v>
      </c>
      <c r="B698" s="5" t="s">
        <v>782</v>
      </c>
      <c r="C698" s="5" t="s">
        <v>73</v>
      </c>
      <c r="D698" s="5" t="s">
        <v>64</v>
      </c>
      <c r="E698" s="5" t="s">
        <v>65</v>
      </c>
      <c r="F698" s="5" t="s">
        <v>88</v>
      </c>
      <c r="G698" s="5" t="n">
        <v>510</v>
      </c>
      <c r="H698" s="12" t="n">
        <v>11.04</v>
      </c>
      <c r="I698" s="12" t="n">
        <v>5630.4</v>
      </c>
      <c r="J698" s="12" t="n">
        <v>2601</v>
      </c>
      <c r="K698" s="12" t="n">
        <f aca="false">I698-J698</f>
        <v>3029.4</v>
      </c>
    </row>
    <row r="699" customFormat="false" ht="15" hidden="false" customHeight="false" outlineLevel="0" collapsed="false">
      <c r="A699" s="11" t="n">
        <v>46196</v>
      </c>
      <c r="B699" s="5" t="s">
        <v>783</v>
      </c>
      <c r="C699" s="5" t="s">
        <v>115</v>
      </c>
      <c r="D699" s="5" t="s">
        <v>69</v>
      </c>
      <c r="E699" s="5" t="s">
        <v>65</v>
      </c>
      <c r="F699" s="5" t="s">
        <v>103</v>
      </c>
      <c r="G699" s="5" t="n">
        <v>202</v>
      </c>
      <c r="H699" s="12" t="n">
        <v>15.2</v>
      </c>
      <c r="I699" s="12" t="n">
        <v>3070.4</v>
      </c>
      <c r="J699" s="12" t="n">
        <v>1373.6</v>
      </c>
      <c r="K699" s="12" t="n">
        <f aca="false">I699-J699</f>
        <v>1696.8</v>
      </c>
    </row>
    <row r="700" customFormat="false" ht="15" hidden="false" customHeight="false" outlineLevel="0" collapsed="false">
      <c r="A700" s="11" t="n">
        <v>46196</v>
      </c>
      <c r="B700" s="5" t="s">
        <v>784</v>
      </c>
      <c r="C700" s="5" t="s">
        <v>85</v>
      </c>
      <c r="D700" s="5" t="s">
        <v>69</v>
      </c>
      <c r="E700" s="5" t="s">
        <v>65</v>
      </c>
      <c r="F700" s="5" t="s">
        <v>66</v>
      </c>
      <c r="G700" s="5" t="n">
        <v>101</v>
      </c>
      <c r="H700" s="12" t="n">
        <v>24.9</v>
      </c>
      <c r="I700" s="12" t="n">
        <v>2514.9</v>
      </c>
      <c r="J700" s="12" t="n">
        <v>1151.4</v>
      </c>
      <c r="K700" s="12" t="n">
        <f aca="false">I700-J700</f>
        <v>1363.5</v>
      </c>
    </row>
    <row r="701" customFormat="false" ht="15" hidden="false" customHeight="false" outlineLevel="0" collapsed="false">
      <c r="A701" s="11" t="n">
        <v>46196</v>
      </c>
      <c r="B701" s="5" t="s">
        <v>785</v>
      </c>
      <c r="C701" s="5" t="s">
        <v>81</v>
      </c>
      <c r="D701" s="5" t="s">
        <v>64</v>
      </c>
      <c r="E701" s="5" t="s">
        <v>70</v>
      </c>
      <c r="F701" s="5" t="s">
        <v>71</v>
      </c>
      <c r="G701" s="5" t="n">
        <v>4175</v>
      </c>
      <c r="H701" s="12" t="n">
        <v>2.95</v>
      </c>
      <c r="I701" s="12" t="n">
        <v>12316.25</v>
      </c>
      <c r="J701" s="12" t="n">
        <v>5427.5</v>
      </c>
      <c r="K701" s="12" t="n">
        <f aca="false">I701-J701</f>
        <v>6888.75</v>
      </c>
    </row>
    <row r="702" customFormat="false" ht="15" hidden="false" customHeight="false" outlineLevel="0" collapsed="false">
      <c r="A702" s="11" t="n">
        <v>46197</v>
      </c>
      <c r="B702" s="5" t="s">
        <v>786</v>
      </c>
      <c r="C702" s="5" t="s">
        <v>99</v>
      </c>
      <c r="D702" s="5" t="s">
        <v>69</v>
      </c>
      <c r="E702" s="5" t="s">
        <v>75</v>
      </c>
      <c r="F702" s="5" t="s">
        <v>78</v>
      </c>
      <c r="G702" s="5" t="n">
        <v>178</v>
      </c>
      <c r="H702" s="12" t="n">
        <v>5.86</v>
      </c>
      <c r="I702" s="12" t="n">
        <v>1043.08</v>
      </c>
      <c r="J702" s="12" t="n">
        <v>462.8</v>
      </c>
      <c r="K702" s="12" t="n">
        <f aca="false">I702-J702</f>
        <v>580.28</v>
      </c>
    </row>
    <row r="703" customFormat="false" ht="15" hidden="false" customHeight="false" outlineLevel="0" collapsed="false">
      <c r="A703" s="11" t="n">
        <v>46197</v>
      </c>
      <c r="B703" s="5" t="s">
        <v>787</v>
      </c>
      <c r="C703" s="5" t="s">
        <v>73</v>
      </c>
      <c r="D703" s="5" t="s">
        <v>64</v>
      </c>
      <c r="E703" s="5" t="s">
        <v>65</v>
      </c>
      <c r="F703" s="5" t="s">
        <v>66</v>
      </c>
      <c r="G703" s="5" t="n">
        <v>235</v>
      </c>
      <c r="H703" s="12" t="n">
        <v>23.9</v>
      </c>
      <c r="I703" s="12" t="n">
        <v>5616.5</v>
      </c>
      <c r="J703" s="12" t="n">
        <v>2679</v>
      </c>
      <c r="K703" s="12" t="n">
        <f aca="false">I703-J703</f>
        <v>2937.5</v>
      </c>
    </row>
    <row r="704" customFormat="false" ht="15" hidden="false" customHeight="false" outlineLevel="0" collapsed="false">
      <c r="A704" s="11" t="n">
        <v>46197</v>
      </c>
      <c r="B704" s="5" t="s">
        <v>788</v>
      </c>
      <c r="C704" s="5" t="s">
        <v>85</v>
      </c>
      <c r="D704" s="5" t="s">
        <v>69</v>
      </c>
      <c r="E704" s="5" t="s">
        <v>70</v>
      </c>
      <c r="F704" s="5" t="s">
        <v>90</v>
      </c>
      <c r="G704" s="5" t="n">
        <v>1346</v>
      </c>
      <c r="H704" s="12" t="n">
        <v>2.7</v>
      </c>
      <c r="I704" s="12" t="n">
        <v>3634.2</v>
      </c>
      <c r="J704" s="12" t="n">
        <v>1615.2</v>
      </c>
      <c r="K704" s="12" t="n">
        <f aca="false">I704-J704</f>
        <v>2019</v>
      </c>
    </row>
    <row r="705" customFormat="false" ht="15" hidden="false" customHeight="false" outlineLevel="0" collapsed="false">
      <c r="A705" s="11" t="n">
        <v>46198</v>
      </c>
      <c r="B705" s="5" t="s">
        <v>789</v>
      </c>
      <c r="C705" s="5" t="s">
        <v>85</v>
      </c>
      <c r="D705" s="5" t="s">
        <v>69</v>
      </c>
      <c r="E705" s="5" t="s">
        <v>75</v>
      </c>
      <c r="F705" s="5" t="s">
        <v>83</v>
      </c>
      <c r="G705" s="5" t="n">
        <v>96</v>
      </c>
      <c r="H705" s="12" t="n">
        <v>4.2</v>
      </c>
      <c r="I705" s="12" t="n">
        <v>403.2</v>
      </c>
      <c r="J705" s="12" t="n">
        <v>177.6</v>
      </c>
      <c r="K705" s="12" t="n">
        <f aca="false">I705-J705</f>
        <v>225.6</v>
      </c>
    </row>
    <row r="706" customFormat="false" ht="15" hidden="false" customHeight="false" outlineLevel="0" collapsed="false">
      <c r="A706" s="11" t="n">
        <v>46198</v>
      </c>
      <c r="B706" s="5" t="s">
        <v>790</v>
      </c>
      <c r="C706" s="5" t="s">
        <v>99</v>
      </c>
      <c r="D706" s="5" t="s">
        <v>69</v>
      </c>
      <c r="E706" s="5" t="s">
        <v>65</v>
      </c>
      <c r="F706" s="5" t="s">
        <v>66</v>
      </c>
      <c r="G706" s="5" t="n">
        <v>208</v>
      </c>
      <c r="H706" s="12" t="n">
        <v>23.9</v>
      </c>
      <c r="I706" s="12" t="n">
        <v>4971.2</v>
      </c>
      <c r="J706" s="12" t="n">
        <v>2371.2</v>
      </c>
      <c r="K706" s="12" t="n">
        <f aca="false">I706-J706</f>
        <v>2600</v>
      </c>
    </row>
    <row r="707" customFormat="false" ht="15" hidden="false" customHeight="false" outlineLevel="0" collapsed="false">
      <c r="A707" s="11" t="n">
        <v>46198</v>
      </c>
      <c r="B707" s="5" t="s">
        <v>791</v>
      </c>
      <c r="C707" s="5" t="s">
        <v>68</v>
      </c>
      <c r="D707" s="5" t="s">
        <v>69</v>
      </c>
      <c r="E707" s="5" t="s">
        <v>70</v>
      </c>
      <c r="F707" s="5" t="s">
        <v>92</v>
      </c>
      <c r="G707" s="5" t="n">
        <v>1900</v>
      </c>
      <c r="H707" s="12" t="n">
        <v>2.4</v>
      </c>
      <c r="I707" s="12" t="n">
        <v>4560</v>
      </c>
      <c r="J707" s="12" t="n">
        <v>1805</v>
      </c>
      <c r="K707" s="12" t="n">
        <f aca="false">I707-J707</f>
        <v>2755</v>
      </c>
    </row>
    <row r="708" customFormat="false" ht="15" hidden="false" customHeight="false" outlineLevel="0" collapsed="false">
      <c r="A708" s="11" t="n">
        <v>46198</v>
      </c>
      <c r="B708" s="5" t="s">
        <v>792</v>
      </c>
      <c r="C708" s="5" t="s">
        <v>68</v>
      </c>
      <c r="D708" s="5" t="s">
        <v>69</v>
      </c>
      <c r="E708" s="5" t="s">
        <v>70</v>
      </c>
      <c r="F708" s="5" t="s">
        <v>71</v>
      </c>
      <c r="G708" s="5" t="n">
        <v>1545</v>
      </c>
      <c r="H708" s="12" t="n">
        <v>2.95</v>
      </c>
      <c r="I708" s="12" t="n">
        <v>4557.75</v>
      </c>
      <c r="J708" s="12" t="n">
        <v>2008.5</v>
      </c>
      <c r="K708" s="12" t="n">
        <f aca="false">I708-J708</f>
        <v>2549.25</v>
      </c>
    </row>
    <row r="709" customFormat="false" ht="15" hidden="false" customHeight="false" outlineLevel="0" collapsed="false">
      <c r="A709" s="11" t="n">
        <v>46199</v>
      </c>
      <c r="B709" s="5" t="s">
        <v>793</v>
      </c>
      <c r="C709" s="5" t="s">
        <v>63</v>
      </c>
      <c r="D709" s="5" t="s">
        <v>64</v>
      </c>
      <c r="E709" s="5" t="s">
        <v>58</v>
      </c>
      <c r="F709" s="5" t="s">
        <v>117</v>
      </c>
      <c r="G709" s="5" t="n">
        <v>5308</v>
      </c>
      <c r="H709" s="12" t="n">
        <v>3.4</v>
      </c>
      <c r="I709" s="12" t="n">
        <v>18047.2</v>
      </c>
      <c r="J709" s="12" t="n">
        <v>7696.6</v>
      </c>
      <c r="K709" s="12" t="n">
        <f aca="false">I709-J709</f>
        <v>10350.6</v>
      </c>
    </row>
    <row r="710" customFormat="false" ht="15" hidden="false" customHeight="false" outlineLevel="0" collapsed="false">
      <c r="A710" s="11" t="n">
        <v>46199</v>
      </c>
      <c r="B710" s="5" t="s">
        <v>794</v>
      </c>
      <c r="C710" s="5" t="s">
        <v>87</v>
      </c>
      <c r="D710" s="5" t="s">
        <v>64</v>
      </c>
      <c r="E710" s="5" t="s">
        <v>58</v>
      </c>
      <c r="F710" s="5" t="s">
        <v>96</v>
      </c>
      <c r="G710" s="5" t="n">
        <v>4014</v>
      </c>
      <c r="H710" s="12" t="n">
        <v>2.1</v>
      </c>
      <c r="I710" s="12" t="n">
        <v>8429.4</v>
      </c>
      <c r="J710" s="12" t="n">
        <v>3692.88</v>
      </c>
      <c r="K710" s="12" t="n">
        <f aca="false">I710-J710</f>
        <v>4736.52</v>
      </c>
    </row>
    <row r="711" customFormat="false" ht="15" hidden="false" customHeight="false" outlineLevel="0" collapsed="false">
      <c r="A711" s="11" t="n">
        <v>46199</v>
      </c>
      <c r="B711" s="5" t="s">
        <v>795</v>
      </c>
      <c r="C711" s="5" t="s">
        <v>94</v>
      </c>
      <c r="D711" s="5" t="s">
        <v>95</v>
      </c>
      <c r="E711" s="5" t="s">
        <v>75</v>
      </c>
      <c r="F711" s="5" t="s">
        <v>76</v>
      </c>
      <c r="G711" s="5" t="n">
        <v>175</v>
      </c>
      <c r="H711" s="12" t="n">
        <v>4.8</v>
      </c>
      <c r="I711" s="12" t="n">
        <v>840</v>
      </c>
      <c r="J711" s="12" t="n">
        <v>358.75</v>
      </c>
      <c r="K711" s="12" t="n">
        <f aca="false">I711-J711</f>
        <v>481.25</v>
      </c>
    </row>
    <row r="712" customFormat="false" ht="15" hidden="false" customHeight="false" outlineLevel="0" collapsed="false">
      <c r="A712" s="11" t="n">
        <v>46199</v>
      </c>
      <c r="B712" s="5" t="s">
        <v>796</v>
      </c>
      <c r="C712" s="5" t="s">
        <v>68</v>
      </c>
      <c r="D712" s="5" t="s">
        <v>69</v>
      </c>
      <c r="E712" s="5" t="s">
        <v>75</v>
      </c>
      <c r="F712" s="5" t="s">
        <v>78</v>
      </c>
      <c r="G712" s="5" t="n">
        <v>171</v>
      </c>
      <c r="H712" s="12" t="n">
        <v>6.1</v>
      </c>
      <c r="I712" s="12" t="n">
        <v>1043.1</v>
      </c>
      <c r="J712" s="12" t="n">
        <v>444.6</v>
      </c>
      <c r="K712" s="12" t="n">
        <f aca="false">I712-J712</f>
        <v>598.5</v>
      </c>
    </row>
    <row r="713" customFormat="false" ht="15" hidden="false" customHeight="false" outlineLevel="0" collapsed="false">
      <c r="A713" s="11" t="n">
        <v>46200</v>
      </c>
      <c r="B713" s="5" t="s">
        <v>797</v>
      </c>
      <c r="C713" s="5" t="s">
        <v>94</v>
      </c>
      <c r="D713" s="5" t="s">
        <v>95</v>
      </c>
      <c r="E713" s="5" t="s">
        <v>75</v>
      </c>
      <c r="F713" s="5" t="s">
        <v>83</v>
      </c>
      <c r="G713" s="5" t="n">
        <v>200</v>
      </c>
      <c r="H713" s="12" t="n">
        <v>4.2</v>
      </c>
      <c r="I713" s="12" t="n">
        <v>840</v>
      </c>
      <c r="J713" s="12" t="n">
        <v>370</v>
      </c>
      <c r="K713" s="12" t="n">
        <f aca="false">I713-J713</f>
        <v>470</v>
      </c>
    </row>
    <row r="714" customFormat="false" ht="15" hidden="false" customHeight="false" outlineLevel="0" collapsed="false">
      <c r="A714" s="11" t="n">
        <v>46200</v>
      </c>
      <c r="B714" s="5" t="s">
        <v>798</v>
      </c>
      <c r="C714" s="5" t="s">
        <v>56</v>
      </c>
      <c r="D714" s="5" t="s">
        <v>57</v>
      </c>
      <c r="E714" s="5" t="s">
        <v>75</v>
      </c>
      <c r="F714" s="5" t="s">
        <v>76</v>
      </c>
      <c r="G714" s="5" t="n">
        <v>294</v>
      </c>
      <c r="H714" s="12" t="n">
        <v>4.8</v>
      </c>
      <c r="I714" s="12" t="n">
        <v>1411.2</v>
      </c>
      <c r="J714" s="12" t="n">
        <v>602.7</v>
      </c>
      <c r="K714" s="12" t="n">
        <f aca="false">I714-J714</f>
        <v>808.5</v>
      </c>
    </row>
    <row r="715" customFormat="false" ht="15" hidden="false" customHeight="false" outlineLevel="0" collapsed="false">
      <c r="A715" s="11" t="n">
        <v>46200</v>
      </c>
      <c r="B715" s="5" t="s">
        <v>799</v>
      </c>
      <c r="C715" s="5" t="s">
        <v>99</v>
      </c>
      <c r="D715" s="5" t="s">
        <v>69</v>
      </c>
      <c r="E715" s="5" t="s">
        <v>70</v>
      </c>
      <c r="F715" s="5" t="s">
        <v>90</v>
      </c>
      <c r="G715" s="5" t="n">
        <v>2023</v>
      </c>
      <c r="H715" s="12" t="n">
        <v>2.59</v>
      </c>
      <c r="I715" s="12" t="n">
        <v>5239.57</v>
      </c>
      <c r="J715" s="12" t="n">
        <v>2427.6</v>
      </c>
      <c r="K715" s="12" t="n">
        <f aca="false">I715-J715</f>
        <v>2811.97</v>
      </c>
    </row>
    <row r="716" customFormat="false" ht="15" hidden="false" customHeight="false" outlineLevel="0" collapsed="false">
      <c r="A716" s="11" t="n">
        <v>46201</v>
      </c>
      <c r="B716" s="5" t="s">
        <v>800</v>
      </c>
      <c r="C716" s="5" t="s">
        <v>81</v>
      </c>
      <c r="D716" s="5" t="s">
        <v>64</v>
      </c>
      <c r="E716" s="5" t="s">
        <v>58</v>
      </c>
      <c r="F716" s="5" t="s">
        <v>96</v>
      </c>
      <c r="G716" s="5" t="n">
        <v>8099</v>
      </c>
      <c r="H716" s="12" t="n">
        <v>2.1</v>
      </c>
      <c r="I716" s="12" t="n">
        <v>17007.9</v>
      </c>
      <c r="J716" s="12" t="n">
        <v>7451.08</v>
      </c>
      <c r="K716" s="12" t="n">
        <f aca="false">I716-J716</f>
        <v>9556.82</v>
      </c>
    </row>
    <row r="717" customFormat="false" ht="15" hidden="false" customHeight="false" outlineLevel="0" collapsed="false">
      <c r="A717" s="11" t="n">
        <v>46201</v>
      </c>
      <c r="B717" s="5" t="s">
        <v>801</v>
      </c>
      <c r="C717" s="5" t="s">
        <v>63</v>
      </c>
      <c r="D717" s="5" t="s">
        <v>64</v>
      </c>
      <c r="E717" s="5" t="s">
        <v>58</v>
      </c>
      <c r="F717" s="5" t="s">
        <v>96</v>
      </c>
      <c r="G717" s="5" t="n">
        <v>8594</v>
      </c>
      <c r="H717" s="12" t="n">
        <v>2.1</v>
      </c>
      <c r="I717" s="12" t="n">
        <v>18047.4</v>
      </c>
      <c r="J717" s="12" t="n">
        <v>7906.48</v>
      </c>
      <c r="K717" s="12" t="n">
        <f aca="false">I717-J717</f>
        <v>10140.92</v>
      </c>
    </row>
    <row r="718" customFormat="false" ht="15" hidden="false" customHeight="false" outlineLevel="0" collapsed="false">
      <c r="A718" s="11" t="n">
        <v>46201</v>
      </c>
      <c r="B718" s="5" t="s">
        <v>802</v>
      </c>
      <c r="C718" s="5" t="s">
        <v>115</v>
      </c>
      <c r="D718" s="5" t="s">
        <v>69</v>
      </c>
      <c r="E718" s="5" t="s">
        <v>58</v>
      </c>
      <c r="F718" s="5" t="s">
        <v>59</v>
      </c>
      <c r="G718" s="5" t="n">
        <v>1931</v>
      </c>
      <c r="H718" s="12" t="n">
        <v>3.9</v>
      </c>
      <c r="I718" s="12" t="n">
        <v>7530.9</v>
      </c>
      <c r="J718" s="12" t="n">
        <v>3282.7</v>
      </c>
      <c r="K718" s="12" t="n">
        <f aca="false">I718-J718</f>
        <v>4248.2</v>
      </c>
    </row>
    <row r="719" customFormat="false" ht="15" hidden="false" customHeight="false" outlineLevel="0" collapsed="false">
      <c r="A719" s="11" t="n">
        <v>46201</v>
      </c>
      <c r="B719" s="5" t="s">
        <v>803</v>
      </c>
      <c r="C719" s="5" t="s">
        <v>87</v>
      </c>
      <c r="D719" s="5" t="s">
        <v>64</v>
      </c>
      <c r="E719" s="5" t="s">
        <v>75</v>
      </c>
      <c r="F719" s="5" t="s">
        <v>76</v>
      </c>
      <c r="G719" s="5" t="n">
        <v>164</v>
      </c>
      <c r="H719" s="12" t="n">
        <v>4.8</v>
      </c>
      <c r="I719" s="12" t="n">
        <v>787.2</v>
      </c>
      <c r="J719" s="12" t="n">
        <v>336.2</v>
      </c>
      <c r="K719" s="12" t="n">
        <f aca="false">I719-J719</f>
        <v>451</v>
      </c>
    </row>
    <row r="720" customFormat="false" ht="15" hidden="false" customHeight="false" outlineLevel="0" collapsed="false">
      <c r="A720" s="11" t="n">
        <v>46201</v>
      </c>
      <c r="B720" s="5" t="s">
        <v>804</v>
      </c>
      <c r="C720" s="5" t="s">
        <v>85</v>
      </c>
      <c r="D720" s="5" t="s">
        <v>69</v>
      </c>
      <c r="E720" s="5" t="s">
        <v>75</v>
      </c>
      <c r="F720" s="5" t="s">
        <v>78</v>
      </c>
      <c r="G720" s="5" t="n">
        <v>66</v>
      </c>
      <c r="H720" s="12" t="n">
        <v>6.1</v>
      </c>
      <c r="I720" s="12" t="n">
        <v>402.6</v>
      </c>
      <c r="J720" s="12" t="n">
        <v>171.6</v>
      </c>
      <c r="K720" s="12" t="n">
        <f aca="false">I720-J720</f>
        <v>231</v>
      </c>
    </row>
    <row r="721" customFormat="false" ht="15" hidden="false" customHeight="false" outlineLevel="0" collapsed="false">
      <c r="A721" s="11" t="n">
        <v>46204</v>
      </c>
      <c r="B721" s="5" t="s">
        <v>805</v>
      </c>
      <c r="C721" s="5" t="s">
        <v>87</v>
      </c>
      <c r="D721" s="5" t="s">
        <v>64</v>
      </c>
      <c r="E721" s="5" t="s">
        <v>58</v>
      </c>
      <c r="F721" s="5" t="s">
        <v>61</v>
      </c>
      <c r="G721" s="5" t="n">
        <v>327</v>
      </c>
      <c r="H721" s="12" t="n">
        <v>24.5</v>
      </c>
      <c r="I721" s="12" t="n">
        <v>8011.5</v>
      </c>
      <c r="J721" s="12" t="n">
        <v>3858.6</v>
      </c>
      <c r="K721" s="12" t="n">
        <f aca="false">I721-J721</f>
        <v>4152.9</v>
      </c>
    </row>
    <row r="722" customFormat="false" ht="15" hidden="false" customHeight="false" outlineLevel="0" collapsed="false">
      <c r="A722" s="11" t="n">
        <v>46204</v>
      </c>
      <c r="B722" s="5" t="s">
        <v>806</v>
      </c>
      <c r="C722" s="5" t="s">
        <v>115</v>
      </c>
      <c r="D722" s="5" t="s">
        <v>69</v>
      </c>
      <c r="E722" s="5" t="s">
        <v>75</v>
      </c>
      <c r="F722" s="5" t="s">
        <v>78</v>
      </c>
      <c r="G722" s="5" t="n">
        <v>121</v>
      </c>
      <c r="H722" s="12" t="n">
        <v>6.1</v>
      </c>
      <c r="I722" s="12" t="n">
        <v>738.1</v>
      </c>
      <c r="J722" s="12" t="n">
        <v>314.6</v>
      </c>
      <c r="K722" s="12" t="n">
        <f aca="false">I722-J722</f>
        <v>423.5</v>
      </c>
    </row>
    <row r="723" customFormat="false" ht="15" hidden="false" customHeight="false" outlineLevel="0" collapsed="false">
      <c r="A723" s="11" t="n">
        <v>46204</v>
      </c>
      <c r="B723" s="5" t="s">
        <v>807</v>
      </c>
      <c r="C723" s="5" t="s">
        <v>115</v>
      </c>
      <c r="D723" s="5" t="s">
        <v>69</v>
      </c>
      <c r="E723" s="5" t="s">
        <v>75</v>
      </c>
      <c r="F723" s="5" t="s">
        <v>76</v>
      </c>
      <c r="G723" s="5" t="n">
        <v>154</v>
      </c>
      <c r="H723" s="12" t="n">
        <v>4.8</v>
      </c>
      <c r="I723" s="12" t="n">
        <v>739.2</v>
      </c>
      <c r="J723" s="12" t="n">
        <v>315.7</v>
      </c>
      <c r="K723" s="12" t="n">
        <f aca="false">I723-J723</f>
        <v>423.5</v>
      </c>
    </row>
    <row r="724" customFormat="false" ht="15" hidden="false" customHeight="false" outlineLevel="0" collapsed="false">
      <c r="A724" s="11" t="n">
        <v>46204</v>
      </c>
      <c r="B724" s="5" t="s">
        <v>808</v>
      </c>
      <c r="C724" s="5" t="s">
        <v>115</v>
      </c>
      <c r="D724" s="5" t="s">
        <v>69</v>
      </c>
      <c r="E724" s="5" t="s">
        <v>70</v>
      </c>
      <c r="F724" s="5" t="s">
        <v>71</v>
      </c>
      <c r="G724" s="5" t="n">
        <v>938</v>
      </c>
      <c r="H724" s="12" t="n">
        <v>2.95</v>
      </c>
      <c r="I724" s="12" t="n">
        <v>2767.1</v>
      </c>
      <c r="J724" s="12" t="n">
        <v>1219.4</v>
      </c>
      <c r="K724" s="12" t="n">
        <f aca="false">I724-J724</f>
        <v>1547.7</v>
      </c>
    </row>
    <row r="725" customFormat="false" ht="15" hidden="false" customHeight="false" outlineLevel="0" collapsed="false">
      <c r="A725" s="11" t="n">
        <v>46205</v>
      </c>
      <c r="B725" s="5" t="s">
        <v>809</v>
      </c>
      <c r="C725" s="5" t="s">
        <v>115</v>
      </c>
      <c r="D725" s="5" t="s">
        <v>69</v>
      </c>
      <c r="E725" s="5" t="s">
        <v>58</v>
      </c>
      <c r="F725" s="5" t="s">
        <v>61</v>
      </c>
      <c r="G725" s="5" t="n">
        <v>202</v>
      </c>
      <c r="H725" s="12" t="n">
        <v>24.5</v>
      </c>
      <c r="I725" s="12" t="n">
        <v>4949</v>
      </c>
      <c r="J725" s="12" t="n">
        <v>2383.6</v>
      </c>
      <c r="K725" s="12" t="n">
        <f aca="false">I725-J725</f>
        <v>2565.4</v>
      </c>
    </row>
    <row r="726" customFormat="false" ht="15" hidden="false" customHeight="false" outlineLevel="0" collapsed="false">
      <c r="A726" s="11" t="n">
        <v>46205</v>
      </c>
      <c r="B726" s="5" t="s">
        <v>810</v>
      </c>
      <c r="C726" s="5" t="s">
        <v>81</v>
      </c>
      <c r="D726" s="5" t="s">
        <v>64</v>
      </c>
      <c r="E726" s="5" t="s">
        <v>75</v>
      </c>
      <c r="F726" s="5" t="s">
        <v>78</v>
      </c>
      <c r="G726" s="5" t="n">
        <v>297</v>
      </c>
      <c r="H726" s="12" t="n">
        <v>6.1</v>
      </c>
      <c r="I726" s="12" t="n">
        <v>1811.7</v>
      </c>
      <c r="J726" s="12" t="n">
        <v>772.2</v>
      </c>
      <c r="K726" s="12" t="n">
        <f aca="false">I726-J726</f>
        <v>1039.5</v>
      </c>
    </row>
    <row r="727" customFormat="false" ht="15" hidden="false" customHeight="false" outlineLevel="0" collapsed="false">
      <c r="A727" s="11" t="n">
        <v>46205</v>
      </c>
      <c r="B727" s="5" t="s">
        <v>811</v>
      </c>
      <c r="C727" s="5" t="s">
        <v>73</v>
      </c>
      <c r="D727" s="5" t="s">
        <v>64</v>
      </c>
      <c r="E727" s="5" t="s">
        <v>75</v>
      </c>
      <c r="F727" s="5" t="s">
        <v>76</v>
      </c>
      <c r="G727" s="5" t="n">
        <v>346</v>
      </c>
      <c r="H727" s="12" t="n">
        <v>4.61</v>
      </c>
      <c r="I727" s="12" t="n">
        <v>1595.06</v>
      </c>
      <c r="J727" s="12" t="n">
        <v>709.3</v>
      </c>
      <c r="K727" s="12" t="n">
        <f aca="false">I727-J727</f>
        <v>885.76</v>
      </c>
    </row>
    <row r="728" customFormat="false" ht="15" hidden="false" customHeight="false" outlineLevel="0" collapsed="false">
      <c r="A728" s="11" t="n">
        <v>46205</v>
      </c>
      <c r="B728" s="5" t="s">
        <v>812</v>
      </c>
      <c r="C728" s="5" t="s">
        <v>81</v>
      </c>
      <c r="D728" s="5" t="s">
        <v>64</v>
      </c>
      <c r="E728" s="5" t="s">
        <v>65</v>
      </c>
      <c r="F728" s="5" t="s">
        <v>88</v>
      </c>
      <c r="G728" s="5" t="n">
        <v>708</v>
      </c>
      <c r="H728" s="12" t="n">
        <v>11.5</v>
      </c>
      <c r="I728" s="12" t="n">
        <v>8142</v>
      </c>
      <c r="J728" s="12" t="n">
        <v>3610.8</v>
      </c>
      <c r="K728" s="12" t="n">
        <f aca="false">I728-J728</f>
        <v>4531.2</v>
      </c>
    </row>
    <row r="729" customFormat="false" ht="15" hidden="false" customHeight="false" outlineLevel="0" collapsed="false">
      <c r="A729" s="11" t="n">
        <v>46205</v>
      </c>
      <c r="B729" s="5" t="s">
        <v>813</v>
      </c>
      <c r="C729" s="5" t="s">
        <v>87</v>
      </c>
      <c r="D729" s="5" t="s">
        <v>64</v>
      </c>
      <c r="E729" s="5" t="s">
        <v>65</v>
      </c>
      <c r="F729" s="5" t="s">
        <v>103</v>
      </c>
      <c r="G729" s="5" t="n">
        <v>461</v>
      </c>
      <c r="H729" s="12" t="n">
        <v>15.2</v>
      </c>
      <c r="I729" s="12" t="n">
        <v>7007.2</v>
      </c>
      <c r="J729" s="12" t="n">
        <v>3134.8</v>
      </c>
      <c r="K729" s="12" t="n">
        <f aca="false">I729-J729</f>
        <v>3872.4</v>
      </c>
    </row>
    <row r="730" customFormat="false" ht="15" hidden="false" customHeight="false" outlineLevel="0" collapsed="false">
      <c r="A730" s="11" t="n">
        <v>46205</v>
      </c>
      <c r="B730" s="5" t="s">
        <v>814</v>
      </c>
      <c r="C730" s="5" t="s">
        <v>85</v>
      </c>
      <c r="D730" s="5" t="s">
        <v>69</v>
      </c>
      <c r="E730" s="5" t="s">
        <v>70</v>
      </c>
      <c r="F730" s="5" t="s">
        <v>92</v>
      </c>
      <c r="G730" s="5" t="n">
        <v>861</v>
      </c>
      <c r="H730" s="12" t="n">
        <v>2.4</v>
      </c>
      <c r="I730" s="12" t="n">
        <v>2066.4</v>
      </c>
      <c r="J730" s="12" t="n">
        <v>817.95</v>
      </c>
      <c r="K730" s="12" t="n">
        <f aca="false">I730-J730</f>
        <v>1248.45</v>
      </c>
    </row>
    <row r="731" customFormat="false" ht="15" hidden="false" customHeight="false" outlineLevel="0" collapsed="false">
      <c r="A731" s="11" t="n">
        <v>46206</v>
      </c>
      <c r="B731" s="5" t="s">
        <v>815</v>
      </c>
      <c r="C731" s="5" t="s">
        <v>73</v>
      </c>
      <c r="D731" s="5" t="s">
        <v>64</v>
      </c>
      <c r="E731" s="5" t="s">
        <v>58</v>
      </c>
      <c r="F731" s="5" t="s">
        <v>96</v>
      </c>
      <c r="G731" s="5" t="n">
        <v>4692</v>
      </c>
      <c r="H731" s="12" t="n">
        <v>2.02</v>
      </c>
      <c r="I731" s="12" t="n">
        <v>9477.84</v>
      </c>
      <c r="J731" s="12" t="n">
        <v>4316.64</v>
      </c>
      <c r="K731" s="12" t="n">
        <f aca="false">I731-J731</f>
        <v>5161.2</v>
      </c>
    </row>
    <row r="732" customFormat="false" ht="15" hidden="false" customHeight="false" outlineLevel="0" collapsed="false">
      <c r="A732" s="11" t="n">
        <v>46206</v>
      </c>
      <c r="B732" s="5" t="s">
        <v>816</v>
      </c>
      <c r="C732" s="5" t="s">
        <v>68</v>
      </c>
      <c r="D732" s="5" t="s">
        <v>69</v>
      </c>
      <c r="E732" s="5" t="s">
        <v>58</v>
      </c>
      <c r="F732" s="5" t="s">
        <v>59</v>
      </c>
      <c r="G732" s="5" t="n">
        <v>1624</v>
      </c>
      <c r="H732" s="12" t="n">
        <v>3.9</v>
      </c>
      <c r="I732" s="12" t="n">
        <v>6333.6</v>
      </c>
      <c r="J732" s="12" t="n">
        <v>2760.8</v>
      </c>
      <c r="K732" s="12" t="n">
        <f aca="false">I732-J732</f>
        <v>3572.8</v>
      </c>
    </row>
    <row r="733" customFormat="false" ht="15" hidden="false" customHeight="false" outlineLevel="0" collapsed="false">
      <c r="A733" s="11" t="n">
        <v>46206</v>
      </c>
      <c r="B733" s="5" t="s">
        <v>817</v>
      </c>
      <c r="C733" s="5" t="s">
        <v>56</v>
      </c>
      <c r="D733" s="5" t="s">
        <v>57</v>
      </c>
      <c r="E733" s="5" t="s">
        <v>58</v>
      </c>
      <c r="F733" s="5" t="s">
        <v>59</v>
      </c>
      <c r="G733" s="5" t="n">
        <v>3816</v>
      </c>
      <c r="H733" s="12" t="n">
        <v>3.9</v>
      </c>
      <c r="I733" s="12" t="n">
        <v>14882.4</v>
      </c>
      <c r="J733" s="12" t="n">
        <v>6487.2</v>
      </c>
      <c r="K733" s="12" t="n">
        <f aca="false">I733-J733</f>
        <v>8395.2</v>
      </c>
    </row>
    <row r="734" customFormat="false" ht="15" hidden="false" customHeight="false" outlineLevel="0" collapsed="false">
      <c r="A734" s="11" t="n">
        <v>46206</v>
      </c>
      <c r="B734" s="5" t="s">
        <v>818</v>
      </c>
      <c r="C734" s="5" t="s">
        <v>99</v>
      </c>
      <c r="D734" s="5" t="s">
        <v>69</v>
      </c>
      <c r="E734" s="5" t="s">
        <v>75</v>
      </c>
      <c r="F734" s="5" t="s">
        <v>78</v>
      </c>
      <c r="G734" s="5" t="n">
        <v>200</v>
      </c>
      <c r="H734" s="12" t="n">
        <v>5.86</v>
      </c>
      <c r="I734" s="12" t="n">
        <v>1172</v>
      </c>
      <c r="J734" s="12" t="n">
        <v>520</v>
      </c>
      <c r="K734" s="12" t="n">
        <f aca="false">I734-J734</f>
        <v>652</v>
      </c>
    </row>
    <row r="735" customFormat="false" ht="15" hidden="false" customHeight="false" outlineLevel="0" collapsed="false">
      <c r="A735" s="11" t="n">
        <v>46206</v>
      </c>
      <c r="B735" s="5" t="s">
        <v>819</v>
      </c>
      <c r="C735" s="5" t="s">
        <v>73</v>
      </c>
      <c r="D735" s="5" t="s">
        <v>64</v>
      </c>
      <c r="E735" s="5" t="s">
        <v>75</v>
      </c>
      <c r="F735" s="5" t="s">
        <v>78</v>
      </c>
      <c r="G735" s="5" t="n">
        <v>272</v>
      </c>
      <c r="H735" s="12" t="n">
        <v>5.86</v>
      </c>
      <c r="I735" s="12" t="n">
        <v>1593.92</v>
      </c>
      <c r="J735" s="12" t="n">
        <v>707.2</v>
      </c>
      <c r="K735" s="12" t="n">
        <f aca="false">I735-J735</f>
        <v>886.72</v>
      </c>
    </row>
    <row r="736" customFormat="false" ht="15" hidden="false" customHeight="false" outlineLevel="0" collapsed="false">
      <c r="A736" s="11" t="n">
        <v>46206</v>
      </c>
      <c r="B736" s="5" t="s">
        <v>820</v>
      </c>
      <c r="C736" s="5" t="s">
        <v>115</v>
      </c>
      <c r="D736" s="5" t="s">
        <v>69</v>
      </c>
      <c r="E736" s="5" t="s">
        <v>75</v>
      </c>
      <c r="F736" s="5" t="s">
        <v>83</v>
      </c>
      <c r="G736" s="5" t="n">
        <v>176</v>
      </c>
      <c r="H736" s="12" t="n">
        <v>4.2</v>
      </c>
      <c r="I736" s="12" t="n">
        <v>739.2</v>
      </c>
      <c r="J736" s="12" t="n">
        <v>325.6</v>
      </c>
      <c r="K736" s="12" t="n">
        <f aca="false">I736-J736</f>
        <v>413.6</v>
      </c>
    </row>
    <row r="737" customFormat="false" ht="15" hidden="false" customHeight="false" outlineLevel="0" collapsed="false">
      <c r="A737" s="11" t="n">
        <v>46206</v>
      </c>
      <c r="B737" s="5" t="s">
        <v>821</v>
      </c>
      <c r="C737" s="5" t="s">
        <v>81</v>
      </c>
      <c r="D737" s="5" t="s">
        <v>64</v>
      </c>
      <c r="E737" s="5" t="s">
        <v>65</v>
      </c>
      <c r="F737" s="5" t="s">
        <v>103</v>
      </c>
      <c r="G737" s="5" t="n">
        <v>535</v>
      </c>
      <c r="H737" s="12" t="n">
        <v>15.2</v>
      </c>
      <c r="I737" s="12" t="n">
        <v>8132</v>
      </c>
      <c r="J737" s="12" t="n">
        <v>3638</v>
      </c>
      <c r="K737" s="12" t="n">
        <f aca="false">I737-J737</f>
        <v>4494</v>
      </c>
    </row>
    <row r="738" customFormat="false" ht="15" hidden="false" customHeight="false" outlineLevel="0" collapsed="false">
      <c r="A738" s="11" t="n">
        <v>46206</v>
      </c>
      <c r="B738" s="5" t="s">
        <v>822</v>
      </c>
      <c r="C738" s="5" t="s">
        <v>63</v>
      </c>
      <c r="D738" s="5" t="s">
        <v>64</v>
      </c>
      <c r="E738" s="5" t="s">
        <v>65</v>
      </c>
      <c r="F738" s="5" t="s">
        <v>103</v>
      </c>
      <c r="G738" s="5" t="n">
        <v>458</v>
      </c>
      <c r="H738" s="12" t="n">
        <v>15.2</v>
      </c>
      <c r="I738" s="12" t="n">
        <v>6961.6</v>
      </c>
      <c r="J738" s="12" t="n">
        <v>3114.4</v>
      </c>
      <c r="K738" s="12" t="n">
        <f aca="false">I738-J738</f>
        <v>3847.2</v>
      </c>
    </row>
    <row r="739" customFormat="false" ht="15" hidden="false" customHeight="false" outlineLevel="0" collapsed="false">
      <c r="A739" s="11" t="n">
        <v>46206</v>
      </c>
      <c r="B739" s="5" t="s">
        <v>823</v>
      </c>
      <c r="C739" s="5" t="s">
        <v>94</v>
      </c>
      <c r="D739" s="5" t="s">
        <v>95</v>
      </c>
      <c r="E739" s="5" t="s">
        <v>70</v>
      </c>
      <c r="F739" s="5" t="s">
        <v>71</v>
      </c>
      <c r="G739" s="5" t="n">
        <v>2789</v>
      </c>
      <c r="H739" s="12" t="n">
        <v>2.95</v>
      </c>
      <c r="I739" s="12" t="n">
        <v>8227.55</v>
      </c>
      <c r="J739" s="12" t="n">
        <v>3625.7</v>
      </c>
      <c r="K739" s="12" t="n">
        <f aca="false">I739-J739</f>
        <v>4601.85</v>
      </c>
    </row>
    <row r="740" customFormat="false" ht="15" hidden="false" customHeight="false" outlineLevel="0" collapsed="false">
      <c r="A740" s="11" t="n">
        <v>46206</v>
      </c>
      <c r="B740" s="5" t="s">
        <v>824</v>
      </c>
      <c r="C740" s="5" t="s">
        <v>115</v>
      </c>
      <c r="D740" s="5" t="s">
        <v>69</v>
      </c>
      <c r="E740" s="5" t="s">
        <v>70</v>
      </c>
      <c r="F740" s="5" t="s">
        <v>90</v>
      </c>
      <c r="G740" s="5" t="n">
        <v>1024</v>
      </c>
      <c r="H740" s="12" t="n">
        <v>2.7</v>
      </c>
      <c r="I740" s="12" t="n">
        <v>2764.8</v>
      </c>
      <c r="J740" s="12" t="n">
        <v>1228.8</v>
      </c>
      <c r="K740" s="12" t="n">
        <f aca="false">I740-J740</f>
        <v>1536</v>
      </c>
    </row>
    <row r="741" customFormat="false" ht="15" hidden="false" customHeight="false" outlineLevel="0" collapsed="false">
      <c r="A741" s="11" t="n">
        <v>46207</v>
      </c>
      <c r="B741" s="5" t="s">
        <v>825</v>
      </c>
      <c r="C741" s="5" t="s">
        <v>56</v>
      </c>
      <c r="D741" s="5" t="s">
        <v>57</v>
      </c>
      <c r="E741" s="5" t="s">
        <v>65</v>
      </c>
      <c r="F741" s="5" t="s">
        <v>66</v>
      </c>
      <c r="G741" s="5" t="n">
        <v>407</v>
      </c>
      <c r="H741" s="12" t="n">
        <v>24.9</v>
      </c>
      <c r="I741" s="12" t="n">
        <v>10134.3</v>
      </c>
      <c r="J741" s="12" t="n">
        <v>4639.8</v>
      </c>
      <c r="K741" s="12" t="n">
        <f aca="false">I741-J741</f>
        <v>5494.5</v>
      </c>
    </row>
    <row r="742" customFormat="false" ht="15" hidden="false" customHeight="false" outlineLevel="0" collapsed="false">
      <c r="A742" s="11" t="n">
        <v>46207</v>
      </c>
      <c r="B742" s="5" t="s">
        <v>826</v>
      </c>
      <c r="C742" s="5" t="s">
        <v>85</v>
      </c>
      <c r="D742" s="5" t="s">
        <v>69</v>
      </c>
      <c r="E742" s="5" t="s">
        <v>70</v>
      </c>
      <c r="F742" s="5" t="s">
        <v>90</v>
      </c>
      <c r="G742" s="5" t="n">
        <v>765</v>
      </c>
      <c r="H742" s="12" t="n">
        <v>2.7</v>
      </c>
      <c r="I742" s="12" t="n">
        <v>2065.5</v>
      </c>
      <c r="J742" s="12" t="n">
        <v>918</v>
      </c>
      <c r="K742" s="12" t="n">
        <f aca="false">I742-J742</f>
        <v>1147.5</v>
      </c>
    </row>
    <row r="743" customFormat="false" ht="15" hidden="false" customHeight="false" outlineLevel="0" collapsed="false">
      <c r="A743" s="11" t="n">
        <v>46208</v>
      </c>
      <c r="B743" s="5" t="s">
        <v>827</v>
      </c>
      <c r="C743" s="5" t="s">
        <v>81</v>
      </c>
      <c r="D743" s="5" t="s">
        <v>64</v>
      </c>
      <c r="E743" s="5" t="s">
        <v>75</v>
      </c>
      <c r="F743" s="5" t="s">
        <v>76</v>
      </c>
      <c r="G743" s="5" t="n">
        <v>378</v>
      </c>
      <c r="H743" s="12" t="n">
        <v>4.8</v>
      </c>
      <c r="I743" s="12" t="n">
        <v>1814.4</v>
      </c>
      <c r="J743" s="12" t="n">
        <v>774.9</v>
      </c>
      <c r="K743" s="12" t="n">
        <f aca="false">I743-J743</f>
        <v>1039.5</v>
      </c>
    </row>
    <row r="744" customFormat="false" ht="15" hidden="false" customHeight="false" outlineLevel="0" collapsed="false">
      <c r="A744" s="11" t="n">
        <v>46208</v>
      </c>
      <c r="B744" s="5" t="s">
        <v>828</v>
      </c>
      <c r="C744" s="5" t="s">
        <v>63</v>
      </c>
      <c r="D744" s="5" t="s">
        <v>64</v>
      </c>
      <c r="E744" s="5" t="s">
        <v>75</v>
      </c>
      <c r="F744" s="5" t="s">
        <v>83</v>
      </c>
      <c r="G744" s="5" t="n">
        <v>590</v>
      </c>
      <c r="H744" s="12" t="n">
        <v>4.2</v>
      </c>
      <c r="I744" s="12" t="n">
        <v>2478</v>
      </c>
      <c r="J744" s="12" t="n">
        <v>1091.5</v>
      </c>
      <c r="K744" s="12" t="n">
        <f aca="false">I744-J744</f>
        <v>1386.5</v>
      </c>
    </row>
    <row r="745" customFormat="false" ht="15" hidden="false" customHeight="false" outlineLevel="0" collapsed="false">
      <c r="A745" s="11" t="n">
        <v>46208</v>
      </c>
      <c r="B745" s="5" t="s">
        <v>829</v>
      </c>
      <c r="C745" s="5" t="s">
        <v>73</v>
      </c>
      <c r="D745" s="5" t="s">
        <v>64</v>
      </c>
      <c r="E745" s="5" t="s">
        <v>65</v>
      </c>
      <c r="F745" s="5" t="s">
        <v>88</v>
      </c>
      <c r="G745" s="5" t="n">
        <v>987</v>
      </c>
      <c r="H745" s="12" t="n">
        <v>11.04</v>
      </c>
      <c r="I745" s="12" t="n">
        <v>10896.48</v>
      </c>
      <c r="J745" s="12" t="n">
        <v>5033.7</v>
      </c>
      <c r="K745" s="12" t="n">
        <f aca="false">I745-J745</f>
        <v>5862.78</v>
      </c>
    </row>
    <row r="746" customFormat="false" ht="15" hidden="false" customHeight="false" outlineLevel="0" collapsed="false">
      <c r="A746" s="11" t="n">
        <v>46208</v>
      </c>
      <c r="B746" s="5" t="s">
        <v>830</v>
      </c>
      <c r="C746" s="5" t="s">
        <v>81</v>
      </c>
      <c r="D746" s="5" t="s">
        <v>64</v>
      </c>
      <c r="E746" s="5" t="s">
        <v>70</v>
      </c>
      <c r="F746" s="5" t="s">
        <v>92</v>
      </c>
      <c r="G746" s="5" t="n">
        <v>4279</v>
      </c>
      <c r="H746" s="12" t="n">
        <v>2.4</v>
      </c>
      <c r="I746" s="12" t="n">
        <v>10269.6</v>
      </c>
      <c r="J746" s="12" t="n">
        <v>4065.05</v>
      </c>
      <c r="K746" s="12" t="n">
        <f aca="false">I746-J746</f>
        <v>6204.55</v>
      </c>
    </row>
    <row r="747" customFormat="false" ht="15" hidden="false" customHeight="false" outlineLevel="0" collapsed="false">
      <c r="A747" s="11" t="n">
        <v>46208</v>
      </c>
      <c r="B747" s="5" t="s">
        <v>831</v>
      </c>
      <c r="C747" s="5" t="s">
        <v>68</v>
      </c>
      <c r="D747" s="5" t="s">
        <v>69</v>
      </c>
      <c r="E747" s="5" t="s">
        <v>70</v>
      </c>
      <c r="F747" s="5" t="s">
        <v>71</v>
      </c>
      <c r="G747" s="5" t="n">
        <v>1079</v>
      </c>
      <c r="H747" s="12" t="n">
        <v>2.95</v>
      </c>
      <c r="I747" s="12" t="n">
        <v>3183.05</v>
      </c>
      <c r="J747" s="12" t="n">
        <v>1402.7</v>
      </c>
      <c r="K747" s="12" t="n">
        <f aca="false">I747-J747</f>
        <v>1780.35</v>
      </c>
    </row>
    <row r="748" customFormat="false" ht="15" hidden="false" customHeight="false" outlineLevel="0" collapsed="false">
      <c r="A748" s="11" t="n">
        <v>46209</v>
      </c>
      <c r="B748" s="5" t="s">
        <v>832</v>
      </c>
      <c r="C748" s="5" t="s">
        <v>73</v>
      </c>
      <c r="D748" s="5" t="s">
        <v>64</v>
      </c>
      <c r="E748" s="5" t="s">
        <v>58</v>
      </c>
      <c r="F748" s="5" t="s">
        <v>59</v>
      </c>
      <c r="G748" s="5" t="n">
        <v>2534</v>
      </c>
      <c r="H748" s="12" t="n">
        <v>3.74</v>
      </c>
      <c r="I748" s="12" t="n">
        <v>9477.16</v>
      </c>
      <c r="J748" s="12" t="n">
        <v>4307.8</v>
      </c>
      <c r="K748" s="12" t="n">
        <f aca="false">I748-J748</f>
        <v>5169.36</v>
      </c>
    </row>
    <row r="749" customFormat="false" ht="15" hidden="false" customHeight="false" outlineLevel="0" collapsed="false">
      <c r="A749" s="11" t="n">
        <v>46209</v>
      </c>
      <c r="B749" s="5" t="s">
        <v>833</v>
      </c>
      <c r="C749" s="5" t="s">
        <v>87</v>
      </c>
      <c r="D749" s="5" t="s">
        <v>64</v>
      </c>
      <c r="E749" s="5" t="s">
        <v>58</v>
      </c>
      <c r="F749" s="5" t="s">
        <v>96</v>
      </c>
      <c r="G749" s="5" t="n">
        <v>3826</v>
      </c>
      <c r="H749" s="12" t="n">
        <v>2.1</v>
      </c>
      <c r="I749" s="12" t="n">
        <v>8034.6</v>
      </c>
      <c r="J749" s="12" t="n">
        <v>3519.92</v>
      </c>
      <c r="K749" s="12" t="n">
        <f aca="false">I749-J749</f>
        <v>4514.68</v>
      </c>
    </row>
    <row r="750" customFormat="false" ht="15" hidden="false" customHeight="false" outlineLevel="0" collapsed="false">
      <c r="A750" s="11" t="n">
        <v>46209</v>
      </c>
      <c r="B750" s="5" t="s">
        <v>834</v>
      </c>
      <c r="C750" s="5" t="s">
        <v>87</v>
      </c>
      <c r="D750" s="5" t="s">
        <v>64</v>
      </c>
      <c r="E750" s="5" t="s">
        <v>58</v>
      </c>
      <c r="F750" s="5" t="s">
        <v>96</v>
      </c>
      <c r="G750" s="5" t="n">
        <v>3826</v>
      </c>
      <c r="H750" s="12" t="n">
        <v>2.1</v>
      </c>
      <c r="I750" s="12" t="n">
        <v>8034.6</v>
      </c>
      <c r="J750" s="12" t="n">
        <v>3519.92</v>
      </c>
      <c r="K750" s="12" t="n">
        <f aca="false">I750-J750</f>
        <v>4514.68</v>
      </c>
    </row>
    <row r="751" customFormat="false" ht="15" hidden="false" customHeight="false" outlineLevel="0" collapsed="false">
      <c r="A751" s="11" t="n">
        <v>46209</v>
      </c>
      <c r="B751" s="5" t="s">
        <v>835</v>
      </c>
      <c r="C751" s="5" t="s">
        <v>87</v>
      </c>
      <c r="D751" s="5" t="s">
        <v>64</v>
      </c>
      <c r="E751" s="5" t="s">
        <v>58</v>
      </c>
      <c r="F751" s="5" t="s">
        <v>61</v>
      </c>
      <c r="G751" s="5" t="n">
        <v>327</v>
      </c>
      <c r="H751" s="12" t="n">
        <v>24.5</v>
      </c>
      <c r="I751" s="12" t="n">
        <v>8011.5</v>
      </c>
      <c r="J751" s="12" t="n">
        <v>3858.6</v>
      </c>
      <c r="K751" s="12" t="n">
        <f aca="false">I751-J751</f>
        <v>4152.9</v>
      </c>
    </row>
    <row r="752" customFormat="false" ht="15" hidden="false" customHeight="false" outlineLevel="0" collapsed="false">
      <c r="A752" s="11" t="n">
        <v>46209</v>
      </c>
      <c r="B752" s="5" t="s">
        <v>836</v>
      </c>
      <c r="C752" s="5" t="s">
        <v>115</v>
      </c>
      <c r="D752" s="5" t="s">
        <v>69</v>
      </c>
      <c r="E752" s="5" t="s">
        <v>58</v>
      </c>
      <c r="F752" s="5" t="s">
        <v>61</v>
      </c>
      <c r="G752" s="5" t="n">
        <v>202</v>
      </c>
      <c r="H752" s="12" t="n">
        <v>24.5</v>
      </c>
      <c r="I752" s="12" t="n">
        <v>4949</v>
      </c>
      <c r="J752" s="12" t="n">
        <v>2383.6</v>
      </c>
      <c r="K752" s="12" t="n">
        <f aca="false">I752-J752</f>
        <v>2565.4</v>
      </c>
    </row>
    <row r="753" customFormat="false" ht="15" hidden="false" customHeight="false" outlineLevel="0" collapsed="false">
      <c r="A753" s="11" t="n">
        <v>46209</v>
      </c>
      <c r="B753" s="5" t="s">
        <v>837</v>
      </c>
      <c r="C753" s="5" t="s">
        <v>99</v>
      </c>
      <c r="D753" s="5" t="s">
        <v>69</v>
      </c>
      <c r="E753" s="5" t="s">
        <v>75</v>
      </c>
      <c r="F753" s="5" t="s">
        <v>76</v>
      </c>
      <c r="G753" s="5" t="n">
        <v>255</v>
      </c>
      <c r="H753" s="12" t="n">
        <v>4.61</v>
      </c>
      <c r="I753" s="12" t="n">
        <v>1175.55</v>
      </c>
      <c r="J753" s="12" t="n">
        <v>522.75</v>
      </c>
      <c r="K753" s="12" t="n">
        <f aca="false">I753-J753</f>
        <v>652.8</v>
      </c>
    </row>
    <row r="754" customFormat="false" ht="15" hidden="false" customHeight="false" outlineLevel="0" collapsed="false">
      <c r="A754" s="11" t="n">
        <v>46209</v>
      </c>
      <c r="B754" s="5" t="s">
        <v>838</v>
      </c>
      <c r="C754" s="5" t="s">
        <v>81</v>
      </c>
      <c r="D754" s="5" t="s">
        <v>64</v>
      </c>
      <c r="E754" s="5" t="s">
        <v>75</v>
      </c>
      <c r="F754" s="5" t="s">
        <v>78</v>
      </c>
      <c r="G754" s="5" t="n">
        <v>297</v>
      </c>
      <c r="H754" s="12" t="n">
        <v>6.1</v>
      </c>
      <c r="I754" s="12" t="n">
        <v>1811.7</v>
      </c>
      <c r="J754" s="12" t="n">
        <v>772.2</v>
      </c>
      <c r="K754" s="12" t="n">
        <f aca="false">I754-J754</f>
        <v>1039.5</v>
      </c>
    </row>
    <row r="755" customFormat="false" ht="15" hidden="false" customHeight="false" outlineLevel="0" collapsed="false">
      <c r="A755" s="11" t="n">
        <v>46209</v>
      </c>
      <c r="B755" s="5" t="s">
        <v>839</v>
      </c>
      <c r="C755" s="5" t="s">
        <v>68</v>
      </c>
      <c r="D755" s="5" t="s">
        <v>69</v>
      </c>
      <c r="E755" s="5" t="s">
        <v>75</v>
      </c>
      <c r="F755" s="5" t="s">
        <v>76</v>
      </c>
      <c r="G755" s="5" t="n">
        <v>89</v>
      </c>
      <c r="H755" s="12" t="n">
        <v>4.8</v>
      </c>
      <c r="I755" s="12" t="n">
        <v>427.2</v>
      </c>
      <c r="J755" s="12" t="n">
        <v>182.45</v>
      </c>
      <c r="K755" s="12" t="n">
        <f aca="false">I755-J755</f>
        <v>244.75</v>
      </c>
    </row>
    <row r="756" customFormat="false" ht="15" hidden="false" customHeight="false" outlineLevel="0" collapsed="false">
      <c r="A756" s="11" t="n">
        <v>46210</v>
      </c>
      <c r="B756" s="5" t="s">
        <v>840</v>
      </c>
      <c r="C756" s="5" t="s">
        <v>85</v>
      </c>
      <c r="D756" s="5" t="s">
        <v>69</v>
      </c>
      <c r="E756" s="5" t="s">
        <v>65</v>
      </c>
      <c r="F756" s="5" t="s">
        <v>88</v>
      </c>
      <c r="G756" s="5" t="n">
        <v>216</v>
      </c>
      <c r="H756" s="12" t="n">
        <v>11.5</v>
      </c>
      <c r="I756" s="12" t="n">
        <v>2484</v>
      </c>
      <c r="J756" s="12" t="n">
        <v>1101.6</v>
      </c>
      <c r="K756" s="12" t="n">
        <f aca="false">I756-J756</f>
        <v>1382.4</v>
      </c>
    </row>
    <row r="757" customFormat="false" ht="15" hidden="false" customHeight="false" outlineLevel="0" collapsed="false">
      <c r="A757" s="11" t="n">
        <v>46210</v>
      </c>
      <c r="B757" s="5" t="s">
        <v>841</v>
      </c>
      <c r="C757" s="5" t="s">
        <v>68</v>
      </c>
      <c r="D757" s="5" t="s">
        <v>69</v>
      </c>
      <c r="E757" s="5" t="s">
        <v>70</v>
      </c>
      <c r="F757" s="5" t="s">
        <v>90</v>
      </c>
      <c r="G757" s="5" t="n">
        <v>1179</v>
      </c>
      <c r="H757" s="12" t="n">
        <v>2.7</v>
      </c>
      <c r="I757" s="12" t="n">
        <v>3183.3</v>
      </c>
      <c r="J757" s="12" t="n">
        <v>1414.8</v>
      </c>
      <c r="K757" s="12" t="n">
        <f aca="false">I757-J757</f>
        <v>1768.5</v>
      </c>
    </row>
    <row r="758" customFormat="false" ht="15" hidden="false" customHeight="false" outlineLevel="0" collapsed="false">
      <c r="A758" s="11" t="n">
        <v>46210</v>
      </c>
      <c r="B758" s="5" t="s">
        <v>842</v>
      </c>
      <c r="C758" s="5" t="s">
        <v>56</v>
      </c>
      <c r="D758" s="5" t="s">
        <v>57</v>
      </c>
      <c r="E758" s="5" t="s">
        <v>70</v>
      </c>
      <c r="F758" s="5" t="s">
        <v>90</v>
      </c>
      <c r="G758" s="5" t="n">
        <v>1647</v>
      </c>
      <c r="H758" s="12" t="n">
        <v>2.7</v>
      </c>
      <c r="I758" s="12" t="n">
        <v>4446.9</v>
      </c>
      <c r="J758" s="12" t="n">
        <v>1976.4</v>
      </c>
      <c r="K758" s="12" t="n">
        <f aca="false">I758-J758</f>
        <v>2470.5</v>
      </c>
    </row>
    <row r="759" customFormat="false" ht="15" hidden="false" customHeight="false" outlineLevel="0" collapsed="false">
      <c r="A759" s="11" t="n">
        <v>46211</v>
      </c>
      <c r="B759" s="5" t="s">
        <v>843</v>
      </c>
      <c r="C759" s="5" t="s">
        <v>81</v>
      </c>
      <c r="D759" s="5" t="s">
        <v>64</v>
      </c>
      <c r="E759" s="5" t="s">
        <v>65</v>
      </c>
      <c r="F759" s="5" t="s">
        <v>88</v>
      </c>
      <c r="G759" s="5" t="n">
        <v>708</v>
      </c>
      <c r="H759" s="12" t="n">
        <v>11.5</v>
      </c>
      <c r="I759" s="12" t="n">
        <v>8142</v>
      </c>
      <c r="J759" s="12" t="n">
        <v>3610.8</v>
      </c>
      <c r="K759" s="12" t="n">
        <f aca="false">I759-J759</f>
        <v>4531.2</v>
      </c>
    </row>
    <row r="760" customFormat="false" ht="15" hidden="false" customHeight="false" outlineLevel="0" collapsed="false">
      <c r="A760" s="11" t="n">
        <v>46211</v>
      </c>
      <c r="B760" s="5" t="s">
        <v>844</v>
      </c>
      <c r="C760" s="5" t="s">
        <v>99</v>
      </c>
      <c r="D760" s="5" t="s">
        <v>69</v>
      </c>
      <c r="E760" s="5" t="s">
        <v>70</v>
      </c>
      <c r="F760" s="5" t="s">
        <v>90</v>
      </c>
      <c r="G760" s="5" t="n">
        <v>2366</v>
      </c>
      <c r="H760" s="12" t="n">
        <v>2.59</v>
      </c>
      <c r="I760" s="12" t="n">
        <v>6127.94</v>
      </c>
      <c r="J760" s="12" t="n">
        <v>2839.2</v>
      </c>
      <c r="K760" s="12" t="n">
        <f aca="false">I760-J760</f>
        <v>3288.74</v>
      </c>
    </row>
    <row r="761" customFormat="false" ht="15" hidden="false" customHeight="false" outlineLevel="0" collapsed="false">
      <c r="A761" s="11" t="n">
        <v>46211</v>
      </c>
      <c r="B761" s="5" t="s">
        <v>845</v>
      </c>
      <c r="C761" s="5" t="s">
        <v>73</v>
      </c>
      <c r="D761" s="5" t="s">
        <v>64</v>
      </c>
      <c r="E761" s="5" t="s">
        <v>70</v>
      </c>
      <c r="F761" s="5" t="s">
        <v>71</v>
      </c>
      <c r="G761" s="5" t="n">
        <v>1351</v>
      </c>
      <c r="H761" s="12" t="n">
        <v>2.83</v>
      </c>
      <c r="I761" s="12" t="n">
        <v>3823.33</v>
      </c>
      <c r="J761" s="12" t="n">
        <v>1756.3</v>
      </c>
      <c r="K761" s="12" t="n">
        <f aca="false">I761-J761</f>
        <v>2067.03</v>
      </c>
    </row>
    <row r="762" customFormat="false" ht="15" hidden="false" customHeight="false" outlineLevel="0" collapsed="false">
      <c r="A762" s="11" t="n">
        <v>46211</v>
      </c>
      <c r="B762" s="5" t="s">
        <v>846</v>
      </c>
      <c r="C762" s="5" t="s">
        <v>87</v>
      </c>
      <c r="D762" s="5" t="s">
        <v>64</v>
      </c>
      <c r="E762" s="5" t="s">
        <v>70</v>
      </c>
      <c r="F762" s="5" t="s">
        <v>90</v>
      </c>
      <c r="G762" s="5" t="n">
        <v>2008</v>
      </c>
      <c r="H762" s="12" t="n">
        <v>2.7</v>
      </c>
      <c r="I762" s="12" t="n">
        <v>5421.6</v>
      </c>
      <c r="J762" s="12" t="n">
        <v>2409.6</v>
      </c>
      <c r="K762" s="12" t="n">
        <f aca="false">I762-J762</f>
        <v>3012</v>
      </c>
    </row>
    <row r="763" customFormat="false" ht="15" hidden="false" customHeight="false" outlineLevel="0" collapsed="false">
      <c r="A763" s="11" t="n">
        <v>46211</v>
      </c>
      <c r="B763" s="5" t="s">
        <v>847</v>
      </c>
      <c r="C763" s="5" t="s">
        <v>87</v>
      </c>
      <c r="D763" s="5" t="s">
        <v>64</v>
      </c>
      <c r="E763" s="5" t="s">
        <v>70</v>
      </c>
      <c r="F763" s="5" t="s">
        <v>71</v>
      </c>
      <c r="G763" s="5" t="n">
        <v>1838</v>
      </c>
      <c r="H763" s="12" t="n">
        <v>2.95</v>
      </c>
      <c r="I763" s="12" t="n">
        <v>5422.1</v>
      </c>
      <c r="J763" s="12" t="n">
        <v>2389.4</v>
      </c>
      <c r="K763" s="12" t="n">
        <f aca="false">I763-J763</f>
        <v>3032.7</v>
      </c>
    </row>
    <row r="764" customFormat="false" ht="15" hidden="false" customHeight="false" outlineLevel="0" collapsed="false">
      <c r="A764" s="11" t="n">
        <v>46212</v>
      </c>
      <c r="B764" s="5" t="s">
        <v>848</v>
      </c>
      <c r="C764" s="5" t="s">
        <v>81</v>
      </c>
      <c r="D764" s="5" t="s">
        <v>64</v>
      </c>
      <c r="E764" s="5" t="s">
        <v>58</v>
      </c>
      <c r="F764" s="5" t="s">
        <v>59</v>
      </c>
      <c r="G764" s="5" t="n">
        <v>4244</v>
      </c>
      <c r="H764" s="12" t="n">
        <v>3.9</v>
      </c>
      <c r="I764" s="12" t="n">
        <v>16551.6</v>
      </c>
      <c r="J764" s="12" t="n">
        <v>7214.8</v>
      </c>
      <c r="K764" s="12" t="n">
        <f aca="false">I764-J764</f>
        <v>9336.8</v>
      </c>
    </row>
    <row r="765" customFormat="false" ht="15" hidden="false" customHeight="false" outlineLevel="0" collapsed="false">
      <c r="A765" s="11" t="n">
        <v>46212</v>
      </c>
      <c r="B765" s="5" t="s">
        <v>849</v>
      </c>
      <c r="C765" s="5" t="s">
        <v>63</v>
      </c>
      <c r="D765" s="5" t="s">
        <v>64</v>
      </c>
      <c r="E765" s="5" t="s">
        <v>65</v>
      </c>
      <c r="F765" s="5" t="s">
        <v>66</v>
      </c>
      <c r="G765" s="5" t="n">
        <v>279</v>
      </c>
      <c r="H765" s="12" t="n">
        <v>24.9</v>
      </c>
      <c r="I765" s="12" t="n">
        <v>6947.1</v>
      </c>
      <c r="J765" s="12" t="n">
        <v>3180.6</v>
      </c>
      <c r="K765" s="12" t="n">
        <f aca="false">I765-J765</f>
        <v>3766.5</v>
      </c>
    </row>
    <row r="766" customFormat="false" ht="15" hidden="false" customHeight="false" outlineLevel="0" collapsed="false">
      <c r="A766" s="11" t="n">
        <v>46212</v>
      </c>
      <c r="B766" s="5" t="s">
        <v>850</v>
      </c>
      <c r="C766" s="5" t="s">
        <v>56</v>
      </c>
      <c r="D766" s="5" t="s">
        <v>57</v>
      </c>
      <c r="E766" s="5" t="s">
        <v>70</v>
      </c>
      <c r="F766" s="5" t="s">
        <v>92</v>
      </c>
      <c r="G766" s="5" t="n">
        <v>1852</v>
      </c>
      <c r="H766" s="12" t="n">
        <v>2.4</v>
      </c>
      <c r="I766" s="12" t="n">
        <v>4444.8</v>
      </c>
      <c r="J766" s="12" t="n">
        <v>1759.4</v>
      </c>
      <c r="K766" s="12" t="n">
        <f aca="false">I766-J766</f>
        <v>2685.4</v>
      </c>
    </row>
    <row r="767" customFormat="false" ht="15" hidden="false" customHeight="false" outlineLevel="0" collapsed="false">
      <c r="A767" s="11" t="n">
        <v>46213</v>
      </c>
      <c r="B767" s="5" t="s">
        <v>851</v>
      </c>
      <c r="C767" s="5" t="s">
        <v>99</v>
      </c>
      <c r="D767" s="5" t="s">
        <v>69</v>
      </c>
      <c r="E767" s="5" t="s">
        <v>58</v>
      </c>
      <c r="F767" s="5" t="s">
        <v>61</v>
      </c>
      <c r="G767" s="5" t="n">
        <v>389</v>
      </c>
      <c r="H767" s="12" t="n">
        <v>23.52</v>
      </c>
      <c r="I767" s="12" t="n">
        <v>9149.28</v>
      </c>
      <c r="J767" s="12" t="n">
        <v>4590.2</v>
      </c>
      <c r="K767" s="12" t="n">
        <f aca="false">I767-J767</f>
        <v>4559.08</v>
      </c>
    </row>
    <row r="768" customFormat="false" ht="15" hidden="false" customHeight="false" outlineLevel="0" collapsed="false">
      <c r="A768" s="11" t="n">
        <v>46213</v>
      </c>
      <c r="B768" s="5" t="s">
        <v>852</v>
      </c>
      <c r="C768" s="5" t="s">
        <v>73</v>
      </c>
      <c r="D768" s="5" t="s">
        <v>64</v>
      </c>
      <c r="E768" s="5" t="s">
        <v>58</v>
      </c>
      <c r="F768" s="5" t="s">
        <v>61</v>
      </c>
      <c r="G768" s="5" t="n">
        <v>403</v>
      </c>
      <c r="H768" s="12" t="n">
        <v>23.52</v>
      </c>
      <c r="I768" s="12" t="n">
        <v>9478.56</v>
      </c>
      <c r="J768" s="12" t="n">
        <v>4755.4</v>
      </c>
      <c r="K768" s="12" t="n">
        <f aca="false">I768-J768</f>
        <v>4723.16</v>
      </c>
    </row>
    <row r="769" customFormat="false" ht="15" hidden="false" customHeight="false" outlineLevel="0" collapsed="false">
      <c r="A769" s="11" t="n">
        <v>46214</v>
      </c>
      <c r="B769" s="5" t="s">
        <v>853</v>
      </c>
      <c r="C769" s="5" t="s">
        <v>81</v>
      </c>
      <c r="D769" s="5" t="s">
        <v>64</v>
      </c>
      <c r="E769" s="5" t="s">
        <v>58</v>
      </c>
      <c r="F769" s="5" t="s">
        <v>61</v>
      </c>
      <c r="G769" s="5" t="n">
        <v>675</v>
      </c>
      <c r="H769" s="12" t="n">
        <v>24.5</v>
      </c>
      <c r="I769" s="12" t="n">
        <v>16537.5</v>
      </c>
      <c r="J769" s="12" t="n">
        <v>7965</v>
      </c>
      <c r="K769" s="12" t="n">
        <f aca="false">I769-J769</f>
        <v>8572.5</v>
      </c>
    </row>
    <row r="770" customFormat="false" ht="15" hidden="false" customHeight="false" outlineLevel="0" collapsed="false">
      <c r="A770" s="11" t="n">
        <v>46214</v>
      </c>
      <c r="B770" s="5" t="s">
        <v>854</v>
      </c>
      <c r="C770" s="5" t="s">
        <v>87</v>
      </c>
      <c r="D770" s="5" t="s">
        <v>64</v>
      </c>
      <c r="E770" s="5" t="s">
        <v>75</v>
      </c>
      <c r="F770" s="5" t="s">
        <v>83</v>
      </c>
      <c r="G770" s="5" t="n">
        <v>193</v>
      </c>
      <c r="H770" s="12" t="n">
        <v>4.2</v>
      </c>
      <c r="I770" s="12" t="n">
        <v>810.6</v>
      </c>
      <c r="J770" s="12" t="n">
        <v>357.05</v>
      </c>
      <c r="K770" s="12" t="n">
        <f aca="false">I770-J770</f>
        <v>453.55</v>
      </c>
    </row>
    <row r="771" customFormat="false" ht="15" hidden="false" customHeight="false" outlineLevel="0" collapsed="false">
      <c r="A771" s="11" t="n">
        <v>46214</v>
      </c>
      <c r="B771" s="5" t="s">
        <v>855</v>
      </c>
      <c r="C771" s="5" t="s">
        <v>56</v>
      </c>
      <c r="D771" s="5" t="s">
        <v>57</v>
      </c>
      <c r="E771" s="5" t="s">
        <v>75</v>
      </c>
      <c r="F771" s="5" t="s">
        <v>78</v>
      </c>
      <c r="G771" s="5" t="n">
        <v>259</v>
      </c>
      <c r="H771" s="12" t="n">
        <v>6.1</v>
      </c>
      <c r="I771" s="12" t="n">
        <v>1579.9</v>
      </c>
      <c r="J771" s="12" t="n">
        <v>673.4</v>
      </c>
      <c r="K771" s="12" t="n">
        <f aca="false">I771-J771</f>
        <v>906.5</v>
      </c>
    </row>
    <row r="772" customFormat="false" ht="15" hidden="false" customHeight="false" outlineLevel="0" collapsed="false">
      <c r="A772" s="11" t="n">
        <v>46214</v>
      </c>
      <c r="B772" s="5" t="s">
        <v>856</v>
      </c>
      <c r="C772" s="5" t="s">
        <v>94</v>
      </c>
      <c r="D772" s="5" t="s">
        <v>95</v>
      </c>
      <c r="E772" s="5" t="s">
        <v>65</v>
      </c>
      <c r="F772" s="5" t="s">
        <v>66</v>
      </c>
      <c r="G772" s="5" t="n">
        <v>290</v>
      </c>
      <c r="H772" s="12" t="n">
        <v>24.9</v>
      </c>
      <c r="I772" s="12" t="n">
        <v>7221</v>
      </c>
      <c r="J772" s="12" t="n">
        <v>3306</v>
      </c>
      <c r="K772" s="12" t="n">
        <f aca="false">I772-J772</f>
        <v>3915</v>
      </c>
    </row>
    <row r="773" customFormat="false" ht="15" hidden="false" customHeight="false" outlineLevel="0" collapsed="false">
      <c r="A773" s="11" t="n">
        <v>46214</v>
      </c>
      <c r="B773" s="5" t="s">
        <v>857</v>
      </c>
      <c r="C773" s="5" t="s">
        <v>73</v>
      </c>
      <c r="D773" s="5" t="s">
        <v>64</v>
      </c>
      <c r="E773" s="5" t="s">
        <v>70</v>
      </c>
      <c r="F773" s="5" t="s">
        <v>92</v>
      </c>
      <c r="G773" s="5" t="n">
        <v>1662</v>
      </c>
      <c r="H773" s="12" t="n">
        <v>2.3</v>
      </c>
      <c r="I773" s="12" t="n">
        <v>3822.6</v>
      </c>
      <c r="J773" s="12" t="n">
        <v>1578.9</v>
      </c>
      <c r="K773" s="12" t="n">
        <f aca="false">I773-J773</f>
        <v>2243.7</v>
      </c>
    </row>
    <row r="774" customFormat="false" ht="15" hidden="false" customHeight="false" outlineLevel="0" collapsed="false">
      <c r="A774" s="11" t="n">
        <v>46214</v>
      </c>
      <c r="B774" s="5" t="s">
        <v>858</v>
      </c>
      <c r="C774" s="5" t="s">
        <v>94</v>
      </c>
      <c r="D774" s="5" t="s">
        <v>95</v>
      </c>
      <c r="E774" s="5" t="s">
        <v>70</v>
      </c>
      <c r="F774" s="5" t="s">
        <v>71</v>
      </c>
      <c r="G774" s="5" t="n">
        <v>2789</v>
      </c>
      <c r="H774" s="12" t="n">
        <v>2.95</v>
      </c>
      <c r="I774" s="12" t="n">
        <v>8227.55</v>
      </c>
      <c r="J774" s="12" t="n">
        <v>3625.7</v>
      </c>
      <c r="K774" s="12" t="n">
        <f aca="false">I774-J774</f>
        <v>4601.85</v>
      </c>
    </row>
    <row r="775" customFormat="false" ht="15" hidden="false" customHeight="false" outlineLevel="0" collapsed="false">
      <c r="A775" s="11" t="n">
        <v>46215</v>
      </c>
      <c r="B775" s="5" t="s">
        <v>859</v>
      </c>
      <c r="C775" s="5" t="s">
        <v>94</v>
      </c>
      <c r="D775" s="5" t="s">
        <v>95</v>
      </c>
      <c r="E775" s="5" t="s">
        <v>58</v>
      </c>
      <c r="F775" s="5" t="s">
        <v>61</v>
      </c>
      <c r="G775" s="5" t="n">
        <v>487</v>
      </c>
      <c r="H775" s="12" t="n">
        <v>24.5</v>
      </c>
      <c r="I775" s="12" t="n">
        <v>11931.5</v>
      </c>
      <c r="J775" s="12" t="n">
        <v>5746.6</v>
      </c>
      <c r="K775" s="12" t="n">
        <f aca="false">I775-J775</f>
        <v>6184.9</v>
      </c>
    </row>
    <row r="776" customFormat="false" ht="15" hidden="false" customHeight="false" outlineLevel="0" collapsed="false">
      <c r="A776" s="11" t="n">
        <v>46215</v>
      </c>
      <c r="B776" s="5" t="s">
        <v>860</v>
      </c>
      <c r="C776" s="5" t="s">
        <v>115</v>
      </c>
      <c r="D776" s="5" t="s">
        <v>69</v>
      </c>
      <c r="E776" s="5" t="s">
        <v>58</v>
      </c>
      <c r="F776" s="5" t="s">
        <v>61</v>
      </c>
      <c r="G776" s="5" t="n">
        <v>202</v>
      </c>
      <c r="H776" s="12" t="n">
        <v>24.5</v>
      </c>
      <c r="I776" s="12" t="n">
        <v>4949</v>
      </c>
      <c r="J776" s="12" t="n">
        <v>2383.6</v>
      </c>
      <c r="K776" s="12" t="n">
        <f aca="false">I776-J776</f>
        <v>2565.4</v>
      </c>
    </row>
    <row r="777" customFormat="false" ht="15" hidden="false" customHeight="false" outlineLevel="0" collapsed="false">
      <c r="A777" s="11" t="n">
        <v>46215</v>
      </c>
      <c r="B777" s="5" t="s">
        <v>861</v>
      </c>
      <c r="C777" s="5" t="s">
        <v>68</v>
      </c>
      <c r="D777" s="5" t="s">
        <v>69</v>
      </c>
      <c r="E777" s="5" t="s">
        <v>58</v>
      </c>
      <c r="F777" s="5" t="s">
        <v>117</v>
      </c>
      <c r="G777" s="5" t="n">
        <v>1863</v>
      </c>
      <c r="H777" s="12" t="n">
        <v>3.4</v>
      </c>
      <c r="I777" s="12" t="n">
        <v>6334.2</v>
      </c>
      <c r="J777" s="12" t="n">
        <v>2701.35</v>
      </c>
      <c r="K777" s="12" t="n">
        <f aca="false">I777-J777</f>
        <v>3632.85</v>
      </c>
    </row>
    <row r="778" customFormat="false" ht="15" hidden="false" customHeight="false" outlineLevel="0" collapsed="false">
      <c r="A778" s="11" t="n">
        <v>46215</v>
      </c>
      <c r="B778" s="5" t="s">
        <v>862</v>
      </c>
      <c r="C778" s="5" t="s">
        <v>115</v>
      </c>
      <c r="D778" s="5" t="s">
        <v>69</v>
      </c>
      <c r="E778" s="5" t="s">
        <v>65</v>
      </c>
      <c r="F778" s="5" t="s">
        <v>88</v>
      </c>
      <c r="G778" s="5" t="n">
        <v>641</v>
      </c>
      <c r="H778" s="12" t="n">
        <v>11.5</v>
      </c>
      <c r="I778" s="12" t="n">
        <v>7371.5</v>
      </c>
      <c r="J778" s="12" t="n">
        <v>3269.1</v>
      </c>
      <c r="K778" s="12" t="n">
        <f aca="false">I778-J778</f>
        <v>4102.4</v>
      </c>
    </row>
    <row r="779" customFormat="false" ht="15" hidden="false" customHeight="false" outlineLevel="0" collapsed="false">
      <c r="A779" s="11" t="n">
        <v>46215</v>
      </c>
      <c r="B779" s="5" t="s">
        <v>863</v>
      </c>
      <c r="C779" s="5" t="s">
        <v>99</v>
      </c>
      <c r="D779" s="5" t="s">
        <v>69</v>
      </c>
      <c r="E779" s="5" t="s">
        <v>70</v>
      </c>
      <c r="F779" s="5" t="s">
        <v>71</v>
      </c>
      <c r="G779" s="5" t="n">
        <v>2165</v>
      </c>
      <c r="H779" s="12" t="n">
        <v>2.83</v>
      </c>
      <c r="I779" s="12" t="n">
        <v>6126.95</v>
      </c>
      <c r="J779" s="12" t="n">
        <v>2814.5</v>
      </c>
      <c r="K779" s="12" t="n">
        <f aca="false">I779-J779</f>
        <v>3312.45</v>
      </c>
    </row>
    <row r="780" customFormat="false" ht="15" hidden="false" customHeight="false" outlineLevel="0" collapsed="false">
      <c r="A780" s="11" t="n">
        <v>46215</v>
      </c>
      <c r="B780" s="5" t="s">
        <v>864</v>
      </c>
      <c r="C780" s="5" t="s">
        <v>63</v>
      </c>
      <c r="D780" s="5" t="s">
        <v>64</v>
      </c>
      <c r="E780" s="5" t="s">
        <v>70</v>
      </c>
      <c r="F780" s="5" t="s">
        <v>71</v>
      </c>
      <c r="G780" s="5" t="n">
        <v>4608</v>
      </c>
      <c r="H780" s="12" t="n">
        <v>2.95</v>
      </c>
      <c r="I780" s="12" t="n">
        <v>13593.6</v>
      </c>
      <c r="J780" s="12" t="n">
        <v>5990.4</v>
      </c>
      <c r="K780" s="12" t="n">
        <f aca="false">I780-J780</f>
        <v>7603.2</v>
      </c>
    </row>
    <row r="781" customFormat="false" ht="15" hidden="false" customHeight="false" outlineLevel="0" collapsed="false">
      <c r="A781" s="11" t="n">
        <v>46216</v>
      </c>
      <c r="B781" s="5" t="s">
        <v>865</v>
      </c>
      <c r="C781" s="5" t="s">
        <v>81</v>
      </c>
      <c r="D781" s="5" t="s">
        <v>64</v>
      </c>
      <c r="E781" s="5" t="s">
        <v>70</v>
      </c>
      <c r="F781" s="5" t="s">
        <v>92</v>
      </c>
      <c r="G781" s="5" t="n">
        <v>4279</v>
      </c>
      <c r="H781" s="12" t="n">
        <v>2.4</v>
      </c>
      <c r="I781" s="12" t="n">
        <v>10269.6</v>
      </c>
      <c r="J781" s="12" t="n">
        <v>4065.05</v>
      </c>
      <c r="K781" s="12" t="n">
        <f aca="false">I781-J781</f>
        <v>6204.55</v>
      </c>
    </row>
    <row r="782" customFormat="false" ht="15" hidden="false" customHeight="false" outlineLevel="0" collapsed="false">
      <c r="A782" s="11" t="n">
        <v>46216</v>
      </c>
      <c r="B782" s="5" t="s">
        <v>866</v>
      </c>
      <c r="C782" s="5" t="s">
        <v>81</v>
      </c>
      <c r="D782" s="5" t="s">
        <v>64</v>
      </c>
      <c r="E782" s="5" t="s">
        <v>70</v>
      </c>
      <c r="F782" s="5" t="s">
        <v>90</v>
      </c>
      <c r="G782" s="5" t="n">
        <v>3804</v>
      </c>
      <c r="H782" s="12" t="n">
        <v>2.7</v>
      </c>
      <c r="I782" s="12" t="n">
        <v>10270.8</v>
      </c>
      <c r="J782" s="12" t="n">
        <v>4564.8</v>
      </c>
      <c r="K782" s="12" t="n">
        <f aca="false">I782-J782</f>
        <v>5706</v>
      </c>
    </row>
    <row r="783" customFormat="false" ht="15" hidden="false" customHeight="false" outlineLevel="0" collapsed="false">
      <c r="A783" s="11" t="n">
        <v>46217</v>
      </c>
      <c r="B783" s="5" t="s">
        <v>867</v>
      </c>
      <c r="C783" s="5" t="s">
        <v>68</v>
      </c>
      <c r="D783" s="5" t="s">
        <v>69</v>
      </c>
      <c r="E783" s="5" t="s">
        <v>65</v>
      </c>
      <c r="F783" s="5" t="s">
        <v>88</v>
      </c>
      <c r="G783" s="5" t="n">
        <v>278</v>
      </c>
      <c r="H783" s="12" t="n">
        <v>11.5</v>
      </c>
      <c r="I783" s="12" t="n">
        <v>3197</v>
      </c>
      <c r="J783" s="12" t="n">
        <v>1417.8</v>
      </c>
      <c r="K783" s="12" t="n">
        <f aca="false">I783-J783</f>
        <v>1779.2</v>
      </c>
    </row>
    <row r="784" customFormat="false" ht="15" hidden="false" customHeight="false" outlineLevel="0" collapsed="false">
      <c r="A784" s="11" t="n">
        <v>46218</v>
      </c>
      <c r="B784" s="5" t="s">
        <v>868</v>
      </c>
      <c r="C784" s="5" t="s">
        <v>99</v>
      </c>
      <c r="D784" s="5" t="s">
        <v>69</v>
      </c>
      <c r="E784" s="5" t="s">
        <v>58</v>
      </c>
      <c r="F784" s="5" t="s">
        <v>61</v>
      </c>
      <c r="G784" s="5" t="n">
        <v>389</v>
      </c>
      <c r="H784" s="12" t="n">
        <v>23.52</v>
      </c>
      <c r="I784" s="12" t="n">
        <v>9149.28</v>
      </c>
      <c r="J784" s="12" t="n">
        <v>4590.2</v>
      </c>
      <c r="K784" s="12" t="n">
        <f aca="false">I784-J784</f>
        <v>4559.08</v>
      </c>
    </row>
    <row r="785" customFormat="false" ht="15" hidden="false" customHeight="false" outlineLevel="0" collapsed="false">
      <c r="A785" s="11" t="n">
        <v>46218</v>
      </c>
      <c r="B785" s="5" t="s">
        <v>869</v>
      </c>
      <c r="C785" s="5" t="s">
        <v>56</v>
      </c>
      <c r="D785" s="5" t="s">
        <v>57</v>
      </c>
      <c r="E785" s="5" t="s">
        <v>58</v>
      </c>
      <c r="F785" s="5" t="s">
        <v>117</v>
      </c>
      <c r="G785" s="5" t="n">
        <v>4378</v>
      </c>
      <c r="H785" s="12" t="n">
        <v>3.4</v>
      </c>
      <c r="I785" s="12" t="n">
        <v>14885.2</v>
      </c>
      <c r="J785" s="12" t="n">
        <v>6348.1</v>
      </c>
      <c r="K785" s="12" t="n">
        <f aca="false">I785-J785</f>
        <v>8537.1</v>
      </c>
    </row>
    <row r="786" customFormat="false" ht="15" hidden="false" customHeight="false" outlineLevel="0" collapsed="false">
      <c r="A786" s="11" t="n">
        <v>46218</v>
      </c>
      <c r="B786" s="5" t="s">
        <v>870</v>
      </c>
      <c r="C786" s="5" t="s">
        <v>99</v>
      </c>
      <c r="D786" s="5" t="s">
        <v>69</v>
      </c>
      <c r="E786" s="5" t="s">
        <v>75</v>
      </c>
      <c r="F786" s="5" t="s">
        <v>83</v>
      </c>
      <c r="G786" s="5" t="n">
        <v>292</v>
      </c>
      <c r="H786" s="12" t="n">
        <v>4.03</v>
      </c>
      <c r="I786" s="12" t="n">
        <v>1176.76</v>
      </c>
      <c r="J786" s="12" t="n">
        <v>540.2</v>
      </c>
      <c r="K786" s="12" t="n">
        <f aca="false">I786-J786</f>
        <v>636.56</v>
      </c>
    </row>
    <row r="787" customFormat="false" ht="15" hidden="false" customHeight="false" outlineLevel="0" collapsed="false">
      <c r="A787" s="11" t="n">
        <v>46218</v>
      </c>
      <c r="B787" s="5" t="s">
        <v>871</v>
      </c>
      <c r="C787" s="5" t="s">
        <v>63</v>
      </c>
      <c r="D787" s="5" t="s">
        <v>64</v>
      </c>
      <c r="E787" s="5" t="s">
        <v>75</v>
      </c>
      <c r="F787" s="5" t="s">
        <v>76</v>
      </c>
      <c r="G787" s="5" t="n">
        <v>516</v>
      </c>
      <c r="H787" s="12" t="n">
        <v>4.8</v>
      </c>
      <c r="I787" s="12" t="n">
        <v>2476.8</v>
      </c>
      <c r="J787" s="12" t="n">
        <v>1057.8</v>
      </c>
      <c r="K787" s="12" t="n">
        <f aca="false">I787-J787</f>
        <v>1419</v>
      </c>
    </row>
    <row r="788" customFormat="false" ht="15" hidden="false" customHeight="false" outlineLevel="0" collapsed="false">
      <c r="A788" s="11" t="n">
        <v>46218</v>
      </c>
      <c r="B788" s="5" t="s">
        <v>872</v>
      </c>
      <c r="C788" s="5" t="s">
        <v>68</v>
      </c>
      <c r="D788" s="5" t="s">
        <v>69</v>
      </c>
      <c r="E788" s="5" t="s">
        <v>75</v>
      </c>
      <c r="F788" s="5" t="s">
        <v>78</v>
      </c>
      <c r="G788" s="5" t="n">
        <v>70</v>
      </c>
      <c r="H788" s="12" t="n">
        <v>6.1</v>
      </c>
      <c r="I788" s="12" t="n">
        <v>427</v>
      </c>
      <c r="J788" s="12" t="n">
        <v>182</v>
      </c>
      <c r="K788" s="12" t="n">
        <f aca="false">I788-J788</f>
        <v>245</v>
      </c>
    </row>
    <row r="789" customFormat="false" ht="15" hidden="false" customHeight="false" outlineLevel="0" collapsed="false">
      <c r="A789" s="11" t="n">
        <v>46218</v>
      </c>
      <c r="B789" s="5" t="s">
        <v>873</v>
      </c>
      <c r="C789" s="5" t="s">
        <v>85</v>
      </c>
      <c r="D789" s="5" t="s">
        <v>69</v>
      </c>
      <c r="E789" s="5" t="s">
        <v>75</v>
      </c>
      <c r="F789" s="5" t="s">
        <v>83</v>
      </c>
      <c r="G789" s="5" t="n">
        <v>165</v>
      </c>
      <c r="H789" s="12" t="n">
        <v>4.2</v>
      </c>
      <c r="I789" s="12" t="n">
        <v>693</v>
      </c>
      <c r="J789" s="12" t="n">
        <v>305.25</v>
      </c>
      <c r="K789" s="12" t="n">
        <f aca="false">I789-J789</f>
        <v>387.75</v>
      </c>
    </row>
    <row r="790" customFormat="false" ht="15" hidden="false" customHeight="false" outlineLevel="0" collapsed="false">
      <c r="A790" s="11" t="n">
        <v>46218</v>
      </c>
      <c r="B790" s="5" t="s">
        <v>874</v>
      </c>
      <c r="C790" s="5" t="s">
        <v>99</v>
      </c>
      <c r="D790" s="5" t="s">
        <v>69</v>
      </c>
      <c r="E790" s="5" t="s">
        <v>70</v>
      </c>
      <c r="F790" s="5" t="s">
        <v>71</v>
      </c>
      <c r="G790" s="5" t="n">
        <v>2165</v>
      </c>
      <c r="H790" s="12" t="n">
        <v>2.83</v>
      </c>
      <c r="I790" s="12" t="n">
        <v>6126.95</v>
      </c>
      <c r="J790" s="12" t="n">
        <v>2814.5</v>
      </c>
      <c r="K790" s="12" t="n">
        <f aca="false">I790-J790</f>
        <v>3312.45</v>
      </c>
    </row>
    <row r="791" customFormat="false" ht="15" hidden="false" customHeight="false" outlineLevel="0" collapsed="false">
      <c r="A791" s="11" t="n">
        <v>46219</v>
      </c>
      <c r="B791" s="5" t="s">
        <v>875</v>
      </c>
      <c r="C791" s="5" t="s">
        <v>94</v>
      </c>
      <c r="D791" s="5" t="s">
        <v>95</v>
      </c>
      <c r="E791" s="5" t="s">
        <v>58</v>
      </c>
      <c r="F791" s="5" t="s">
        <v>59</v>
      </c>
      <c r="G791" s="5" t="n">
        <v>3060</v>
      </c>
      <c r="H791" s="12" t="n">
        <v>3.9</v>
      </c>
      <c r="I791" s="12" t="n">
        <v>11934</v>
      </c>
      <c r="J791" s="12" t="n">
        <v>5202</v>
      </c>
      <c r="K791" s="12" t="n">
        <f aca="false">I791-J791</f>
        <v>6732</v>
      </c>
    </row>
    <row r="792" customFormat="false" ht="15" hidden="false" customHeight="false" outlineLevel="0" collapsed="false">
      <c r="A792" s="11" t="n">
        <v>46220</v>
      </c>
      <c r="B792" s="5" t="s">
        <v>876</v>
      </c>
      <c r="C792" s="5" t="s">
        <v>56</v>
      </c>
      <c r="D792" s="5" t="s">
        <v>57</v>
      </c>
      <c r="E792" s="5" t="s">
        <v>75</v>
      </c>
      <c r="F792" s="5" t="s">
        <v>78</v>
      </c>
      <c r="G792" s="5" t="n">
        <v>259</v>
      </c>
      <c r="H792" s="12" t="n">
        <v>6.1</v>
      </c>
      <c r="I792" s="12" t="n">
        <v>1579.9</v>
      </c>
      <c r="J792" s="12" t="n">
        <v>673.4</v>
      </c>
      <c r="K792" s="12" t="n">
        <f aca="false">I792-J792</f>
        <v>906.5</v>
      </c>
    </row>
    <row r="793" customFormat="false" ht="15" hidden="false" customHeight="false" outlineLevel="0" collapsed="false">
      <c r="A793" s="11" t="n">
        <v>46221</v>
      </c>
      <c r="B793" s="5" t="s">
        <v>877</v>
      </c>
      <c r="C793" s="5" t="s">
        <v>63</v>
      </c>
      <c r="D793" s="5" t="s">
        <v>64</v>
      </c>
      <c r="E793" s="5" t="s">
        <v>58</v>
      </c>
      <c r="F793" s="5" t="s">
        <v>59</v>
      </c>
      <c r="G793" s="5" t="n">
        <v>5709</v>
      </c>
      <c r="H793" s="12" t="n">
        <v>3.9</v>
      </c>
      <c r="I793" s="12" t="n">
        <v>22265.1</v>
      </c>
      <c r="J793" s="12" t="n">
        <v>9705.3</v>
      </c>
      <c r="K793" s="12" t="n">
        <f aca="false">I793-J793</f>
        <v>12559.8</v>
      </c>
    </row>
    <row r="794" customFormat="false" ht="15" hidden="false" customHeight="false" outlineLevel="0" collapsed="false">
      <c r="A794" s="11" t="n">
        <v>46221</v>
      </c>
      <c r="B794" s="5" t="s">
        <v>878</v>
      </c>
      <c r="C794" s="5" t="s">
        <v>85</v>
      </c>
      <c r="D794" s="5" t="s">
        <v>69</v>
      </c>
      <c r="E794" s="5" t="s">
        <v>70</v>
      </c>
      <c r="F794" s="5" t="s">
        <v>71</v>
      </c>
      <c r="G794" s="5" t="n">
        <v>700</v>
      </c>
      <c r="H794" s="12" t="n">
        <v>2.95</v>
      </c>
      <c r="I794" s="12" t="n">
        <v>2065</v>
      </c>
      <c r="J794" s="12" t="n">
        <v>910</v>
      </c>
      <c r="K794" s="12" t="n">
        <f aca="false">I794-J794</f>
        <v>1155</v>
      </c>
    </row>
    <row r="795" customFormat="false" ht="15" hidden="false" customHeight="false" outlineLevel="0" collapsed="false">
      <c r="A795" s="11" t="n">
        <v>46222</v>
      </c>
      <c r="B795" s="5" t="s">
        <v>879</v>
      </c>
      <c r="C795" s="5" t="s">
        <v>63</v>
      </c>
      <c r="D795" s="5" t="s">
        <v>64</v>
      </c>
      <c r="E795" s="5" t="s">
        <v>58</v>
      </c>
      <c r="F795" s="5" t="s">
        <v>117</v>
      </c>
      <c r="G795" s="5" t="n">
        <v>6549</v>
      </c>
      <c r="H795" s="12" t="n">
        <v>3.4</v>
      </c>
      <c r="I795" s="12" t="n">
        <v>22266.6</v>
      </c>
      <c r="J795" s="12" t="n">
        <v>9496.05</v>
      </c>
      <c r="K795" s="12" t="n">
        <f aca="false">I795-J795</f>
        <v>12770.55</v>
      </c>
    </row>
    <row r="796" customFormat="false" ht="15" hidden="false" customHeight="false" outlineLevel="0" collapsed="false">
      <c r="A796" s="11" t="n">
        <v>46222</v>
      </c>
      <c r="B796" s="5" t="s">
        <v>880</v>
      </c>
      <c r="C796" s="5" t="s">
        <v>87</v>
      </c>
      <c r="D796" s="5" t="s">
        <v>64</v>
      </c>
      <c r="E796" s="5" t="s">
        <v>75</v>
      </c>
      <c r="F796" s="5" t="s">
        <v>76</v>
      </c>
      <c r="G796" s="5" t="n">
        <v>169</v>
      </c>
      <c r="H796" s="12" t="n">
        <v>4.8</v>
      </c>
      <c r="I796" s="12" t="n">
        <v>811.2</v>
      </c>
      <c r="J796" s="12" t="n">
        <v>346.45</v>
      </c>
      <c r="K796" s="12" t="n">
        <f aca="false">I796-J796</f>
        <v>464.75</v>
      </c>
    </row>
    <row r="797" customFormat="false" ht="15" hidden="false" customHeight="false" outlineLevel="0" collapsed="false">
      <c r="A797" s="11" t="n">
        <v>46222</v>
      </c>
      <c r="B797" s="5" t="s">
        <v>881</v>
      </c>
      <c r="C797" s="5" t="s">
        <v>94</v>
      </c>
      <c r="D797" s="5" t="s">
        <v>95</v>
      </c>
      <c r="E797" s="5" t="s">
        <v>65</v>
      </c>
      <c r="F797" s="5" t="s">
        <v>88</v>
      </c>
      <c r="G797" s="5" t="n">
        <v>629</v>
      </c>
      <c r="H797" s="12" t="n">
        <v>11.5</v>
      </c>
      <c r="I797" s="12" t="n">
        <v>7233.5</v>
      </c>
      <c r="J797" s="12" t="n">
        <v>3207.9</v>
      </c>
      <c r="K797" s="12" t="n">
        <f aca="false">I797-J797</f>
        <v>4025.6</v>
      </c>
    </row>
    <row r="798" customFormat="false" ht="15" hidden="false" customHeight="false" outlineLevel="0" collapsed="false">
      <c r="A798" s="11" t="n">
        <v>46222</v>
      </c>
      <c r="B798" s="5" t="s">
        <v>882</v>
      </c>
      <c r="C798" s="5" t="s">
        <v>87</v>
      </c>
      <c r="D798" s="5" t="s">
        <v>64</v>
      </c>
      <c r="E798" s="5" t="s">
        <v>65</v>
      </c>
      <c r="F798" s="5" t="s">
        <v>66</v>
      </c>
      <c r="G798" s="5" t="n">
        <v>281</v>
      </c>
      <c r="H798" s="12" t="n">
        <v>24.9</v>
      </c>
      <c r="I798" s="12" t="n">
        <v>6996.9</v>
      </c>
      <c r="J798" s="12" t="n">
        <v>3203.4</v>
      </c>
      <c r="K798" s="12" t="n">
        <f aca="false">I798-J798</f>
        <v>3793.5</v>
      </c>
    </row>
    <row r="799" customFormat="false" ht="15" hidden="false" customHeight="false" outlineLevel="0" collapsed="false">
      <c r="A799" s="11" t="n">
        <v>46222</v>
      </c>
      <c r="B799" s="5" t="s">
        <v>883</v>
      </c>
      <c r="C799" s="5" t="s">
        <v>85</v>
      </c>
      <c r="D799" s="5" t="s">
        <v>69</v>
      </c>
      <c r="E799" s="5" t="s">
        <v>65</v>
      </c>
      <c r="F799" s="5" t="s">
        <v>103</v>
      </c>
      <c r="G799" s="5" t="n">
        <v>163</v>
      </c>
      <c r="H799" s="12" t="n">
        <v>15.2</v>
      </c>
      <c r="I799" s="12" t="n">
        <v>2477.6</v>
      </c>
      <c r="J799" s="12" t="n">
        <v>1108.4</v>
      </c>
      <c r="K799" s="12" t="n">
        <f aca="false">I799-J799</f>
        <v>1369.2</v>
      </c>
    </row>
    <row r="800" customFormat="false" ht="15" hidden="false" customHeight="false" outlineLevel="0" collapsed="false">
      <c r="A800" s="11" t="n">
        <v>46222</v>
      </c>
      <c r="B800" s="5" t="s">
        <v>884</v>
      </c>
      <c r="C800" s="5" t="s">
        <v>115</v>
      </c>
      <c r="D800" s="5" t="s">
        <v>69</v>
      </c>
      <c r="E800" s="5" t="s">
        <v>70</v>
      </c>
      <c r="F800" s="5" t="s">
        <v>90</v>
      </c>
      <c r="G800" s="5" t="n">
        <v>1024</v>
      </c>
      <c r="H800" s="12" t="n">
        <v>2.7</v>
      </c>
      <c r="I800" s="12" t="n">
        <v>2764.8</v>
      </c>
      <c r="J800" s="12" t="n">
        <v>1228.8</v>
      </c>
      <c r="K800" s="12" t="n">
        <f aca="false">I800-J800</f>
        <v>1536</v>
      </c>
    </row>
    <row r="801" customFormat="false" ht="15" hidden="false" customHeight="false" outlineLevel="0" collapsed="false">
      <c r="A801" s="11" t="n">
        <v>46222</v>
      </c>
      <c r="B801" s="5" t="s">
        <v>885</v>
      </c>
      <c r="C801" s="5" t="s">
        <v>56</v>
      </c>
      <c r="D801" s="5" t="s">
        <v>57</v>
      </c>
      <c r="E801" s="5" t="s">
        <v>70</v>
      </c>
      <c r="F801" s="5" t="s">
        <v>92</v>
      </c>
      <c r="G801" s="5" t="n">
        <v>1852</v>
      </c>
      <c r="H801" s="12" t="n">
        <v>2.4</v>
      </c>
      <c r="I801" s="12" t="n">
        <v>4444.8</v>
      </c>
      <c r="J801" s="12" t="n">
        <v>1759.4</v>
      </c>
      <c r="K801" s="12" t="n">
        <f aca="false">I801-J801</f>
        <v>2685.4</v>
      </c>
    </row>
    <row r="802" customFormat="false" ht="15" hidden="false" customHeight="false" outlineLevel="0" collapsed="false">
      <c r="A802" s="11" t="n">
        <v>46223</v>
      </c>
      <c r="B802" s="5" t="s">
        <v>886</v>
      </c>
      <c r="C802" s="5" t="s">
        <v>99</v>
      </c>
      <c r="D802" s="5" t="s">
        <v>69</v>
      </c>
      <c r="E802" s="5" t="s">
        <v>65</v>
      </c>
      <c r="F802" s="5" t="s">
        <v>66</v>
      </c>
      <c r="G802" s="5" t="n">
        <v>530</v>
      </c>
      <c r="H802" s="12" t="n">
        <v>23.9</v>
      </c>
      <c r="I802" s="12" t="n">
        <v>12667</v>
      </c>
      <c r="J802" s="12" t="n">
        <v>6042</v>
      </c>
      <c r="K802" s="12" t="n">
        <f aca="false">I802-J802</f>
        <v>6625</v>
      </c>
    </row>
    <row r="803" customFormat="false" ht="15" hidden="false" customHeight="false" outlineLevel="0" collapsed="false">
      <c r="A803" s="11" t="n">
        <v>46223</v>
      </c>
      <c r="B803" s="5" t="s">
        <v>887</v>
      </c>
      <c r="C803" s="5" t="s">
        <v>81</v>
      </c>
      <c r="D803" s="5" t="s">
        <v>64</v>
      </c>
      <c r="E803" s="5" t="s">
        <v>65</v>
      </c>
      <c r="F803" s="5" t="s">
        <v>66</v>
      </c>
      <c r="G803" s="5" t="n">
        <v>327</v>
      </c>
      <c r="H803" s="12" t="n">
        <v>24.9</v>
      </c>
      <c r="I803" s="12" t="n">
        <v>8142.3</v>
      </c>
      <c r="J803" s="12" t="n">
        <v>3727.8</v>
      </c>
      <c r="K803" s="12" t="n">
        <f aca="false">I803-J803</f>
        <v>4414.5</v>
      </c>
    </row>
    <row r="804" customFormat="false" ht="15" hidden="false" customHeight="false" outlineLevel="0" collapsed="false">
      <c r="A804" s="11" t="n">
        <v>46223</v>
      </c>
      <c r="B804" s="5" t="s">
        <v>888</v>
      </c>
      <c r="C804" s="5" t="s">
        <v>63</v>
      </c>
      <c r="D804" s="5" t="s">
        <v>64</v>
      </c>
      <c r="E804" s="5" t="s">
        <v>70</v>
      </c>
      <c r="F804" s="5" t="s">
        <v>92</v>
      </c>
      <c r="G804" s="5" t="n">
        <v>5664</v>
      </c>
      <c r="H804" s="12" t="n">
        <v>2.4</v>
      </c>
      <c r="I804" s="12" t="n">
        <v>13593.6</v>
      </c>
      <c r="J804" s="12" t="n">
        <v>5380.8</v>
      </c>
      <c r="K804" s="12" t="n">
        <f aca="false">I804-J804</f>
        <v>8212.8</v>
      </c>
    </row>
    <row r="805" customFormat="false" ht="15" hidden="false" customHeight="false" outlineLevel="0" collapsed="false">
      <c r="A805" s="11" t="n">
        <v>46223</v>
      </c>
      <c r="B805" s="5" t="s">
        <v>889</v>
      </c>
      <c r="C805" s="5" t="s">
        <v>73</v>
      </c>
      <c r="D805" s="5" t="s">
        <v>64</v>
      </c>
      <c r="E805" s="5" t="s">
        <v>70</v>
      </c>
      <c r="F805" s="5" t="s">
        <v>92</v>
      </c>
      <c r="G805" s="5" t="n">
        <v>1662</v>
      </c>
      <c r="H805" s="12" t="n">
        <v>2.3</v>
      </c>
      <c r="I805" s="12" t="n">
        <v>3822.6</v>
      </c>
      <c r="J805" s="12" t="n">
        <v>1578.9</v>
      </c>
      <c r="K805" s="12" t="n">
        <f aca="false">I805-J805</f>
        <v>2243.7</v>
      </c>
    </row>
    <row r="806" customFormat="false" ht="15" hidden="false" customHeight="false" outlineLevel="0" collapsed="false">
      <c r="A806" s="11" t="n">
        <v>46224</v>
      </c>
      <c r="B806" s="5" t="s">
        <v>890</v>
      </c>
      <c r="C806" s="5" t="s">
        <v>94</v>
      </c>
      <c r="D806" s="5" t="s">
        <v>95</v>
      </c>
      <c r="E806" s="5" t="s">
        <v>58</v>
      </c>
      <c r="F806" s="5" t="s">
        <v>117</v>
      </c>
      <c r="G806" s="5" t="n">
        <v>3510</v>
      </c>
      <c r="H806" s="12" t="n">
        <v>3.4</v>
      </c>
      <c r="I806" s="12" t="n">
        <v>11934</v>
      </c>
      <c r="J806" s="12" t="n">
        <v>5089.5</v>
      </c>
      <c r="K806" s="12" t="n">
        <f aca="false">I806-J806</f>
        <v>6844.5</v>
      </c>
    </row>
    <row r="807" customFormat="false" ht="15" hidden="false" customHeight="false" outlineLevel="0" collapsed="false">
      <c r="A807" s="11" t="n">
        <v>46224</v>
      </c>
      <c r="B807" s="5" t="s">
        <v>891</v>
      </c>
      <c r="C807" s="5" t="s">
        <v>99</v>
      </c>
      <c r="D807" s="5" t="s">
        <v>69</v>
      </c>
      <c r="E807" s="5" t="s">
        <v>65</v>
      </c>
      <c r="F807" s="5" t="s">
        <v>103</v>
      </c>
      <c r="G807" s="5" t="n">
        <v>869</v>
      </c>
      <c r="H807" s="12" t="n">
        <v>14.59</v>
      </c>
      <c r="I807" s="12" t="n">
        <v>12678.71</v>
      </c>
      <c r="J807" s="12" t="n">
        <v>5909.2</v>
      </c>
      <c r="K807" s="12" t="n">
        <f aca="false">I807-J807</f>
        <v>6769.51</v>
      </c>
    </row>
    <row r="808" customFormat="false" ht="15" hidden="false" customHeight="false" outlineLevel="0" collapsed="false">
      <c r="A808" s="11" t="n">
        <v>46224</v>
      </c>
      <c r="B808" s="5" t="s">
        <v>892</v>
      </c>
      <c r="C808" s="5" t="s">
        <v>63</v>
      </c>
      <c r="D808" s="5" t="s">
        <v>64</v>
      </c>
      <c r="E808" s="5" t="s">
        <v>65</v>
      </c>
      <c r="F808" s="5" t="s">
        <v>88</v>
      </c>
      <c r="G808" s="5" t="n">
        <v>605</v>
      </c>
      <c r="H808" s="12" t="n">
        <v>11.5</v>
      </c>
      <c r="I808" s="12" t="n">
        <v>6957.5</v>
      </c>
      <c r="J808" s="12" t="n">
        <v>3085.5</v>
      </c>
      <c r="K808" s="12" t="n">
        <f aca="false">I808-J808</f>
        <v>3872</v>
      </c>
    </row>
    <row r="809" customFormat="false" ht="15" hidden="false" customHeight="false" outlineLevel="0" collapsed="false">
      <c r="A809" s="11" t="n">
        <v>46224</v>
      </c>
      <c r="B809" s="5" t="s">
        <v>893</v>
      </c>
      <c r="C809" s="5" t="s">
        <v>68</v>
      </c>
      <c r="D809" s="5" t="s">
        <v>69</v>
      </c>
      <c r="E809" s="5" t="s">
        <v>65</v>
      </c>
      <c r="F809" s="5" t="s">
        <v>66</v>
      </c>
      <c r="G809" s="5" t="n">
        <v>128</v>
      </c>
      <c r="H809" s="12" t="n">
        <v>24.9</v>
      </c>
      <c r="I809" s="12" t="n">
        <v>3187.2</v>
      </c>
      <c r="J809" s="12" t="n">
        <v>1459.2</v>
      </c>
      <c r="K809" s="12" t="n">
        <f aca="false">I809-J809</f>
        <v>1728</v>
      </c>
    </row>
    <row r="810" customFormat="false" ht="15" hidden="false" customHeight="false" outlineLevel="0" collapsed="false">
      <c r="A810" s="11" t="n">
        <v>46224</v>
      </c>
      <c r="B810" s="5" t="s">
        <v>894</v>
      </c>
      <c r="C810" s="5" t="s">
        <v>115</v>
      </c>
      <c r="D810" s="5" t="s">
        <v>69</v>
      </c>
      <c r="E810" s="5" t="s">
        <v>70</v>
      </c>
      <c r="F810" s="5" t="s">
        <v>90</v>
      </c>
      <c r="G810" s="5" t="n">
        <v>1024</v>
      </c>
      <c r="H810" s="12" t="n">
        <v>2.7</v>
      </c>
      <c r="I810" s="12" t="n">
        <v>2764.8</v>
      </c>
      <c r="J810" s="12" t="n">
        <v>1228.8</v>
      </c>
      <c r="K810" s="12" t="n">
        <f aca="false">I810-J810</f>
        <v>1536</v>
      </c>
    </row>
    <row r="811" customFormat="false" ht="15" hidden="false" customHeight="false" outlineLevel="0" collapsed="false">
      <c r="A811" s="11" t="n">
        <v>46225</v>
      </c>
      <c r="B811" s="5" t="s">
        <v>895</v>
      </c>
      <c r="C811" s="5" t="s">
        <v>99</v>
      </c>
      <c r="D811" s="5" t="s">
        <v>69</v>
      </c>
      <c r="E811" s="5" t="s">
        <v>58</v>
      </c>
      <c r="F811" s="5" t="s">
        <v>117</v>
      </c>
      <c r="G811" s="5" t="n">
        <v>2810</v>
      </c>
      <c r="H811" s="12" t="n">
        <v>3.26</v>
      </c>
      <c r="I811" s="12" t="n">
        <v>9160.6</v>
      </c>
      <c r="J811" s="12" t="n">
        <v>4074.5</v>
      </c>
      <c r="K811" s="12" t="n">
        <f aca="false">I811-J811</f>
        <v>5086.1</v>
      </c>
    </row>
    <row r="812" customFormat="false" ht="15" hidden="false" customHeight="false" outlineLevel="0" collapsed="false">
      <c r="A812" s="11" t="n">
        <v>46225</v>
      </c>
      <c r="B812" s="5" t="s">
        <v>896</v>
      </c>
      <c r="C812" s="5" t="s">
        <v>115</v>
      </c>
      <c r="D812" s="5" t="s">
        <v>69</v>
      </c>
      <c r="E812" s="5" t="s">
        <v>65</v>
      </c>
      <c r="F812" s="5" t="s">
        <v>88</v>
      </c>
      <c r="G812" s="5" t="n">
        <v>641</v>
      </c>
      <c r="H812" s="12" t="n">
        <v>11.5</v>
      </c>
      <c r="I812" s="12" t="n">
        <v>7371.5</v>
      </c>
      <c r="J812" s="12" t="n">
        <v>3269.1</v>
      </c>
      <c r="K812" s="12" t="n">
        <f aca="false">I812-J812</f>
        <v>4102.4</v>
      </c>
    </row>
    <row r="813" customFormat="false" ht="15" hidden="false" customHeight="false" outlineLevel="0" collapsed="false">
      <c r="A813" s="11" t="n">
        <v>46226</v>
      </c>
      <c r="B813" s="5" t="s">
        <v>897</v>
      </c>
      <c r="C813" s="5" t="s">
        <v>99</v>
      </c>
      <c r="D813" s="5" t="s">
        <v>69</v>
      </c>
      <c r="E813" s="5" t="s">
        <v>58</v>
      </c>
      <c r="F813" s="5" t="s">
        <v>61</v>
      </c>
      <c r="G813" s="5" t="n">
        <v>389</v>
      </c>
      <c r="H813" s="12" t="n">
        <v>23.52</v>
      </c>
      <c r="I813" s="12" t="n">
        <v>9149.28</v>
      </c>
      <c r="J813" s="12" t="n">
        <v>4590.2</v>
      </c>
      <c r="K813" s="12" t="n">
        <f aca="false">I813-J813</f>
        <v>4559.08</v>
      </c>
    </row>
    <row r="814" customFormat="false" ht="15" hidden="false" customHeight="false" outlineLevel="0" collapsed="false">
      <c r="A814" s="11" t="n">
        <v>46226</v>
      </c>
      <c r="B814" s="5" t="s">
        <v>898</v>
      </c>
      <c r="C814" s="5" t="s">
        <v>94</v>
      </c>
      <c r="D814" s="5" t="s">
        <v>95</v>
      </c>
      <c r="E814" s="5" t="s">
        <v>75</v>
      </c>
      <c r="F814" s="5" t="s">
        <v>83</v>
      </c>
      <c r="G814" s="5" t="n">
        <v>335</v>
      </c>
      <c r="H814" s="12" t="n">
        <v>4.2</v>
      </c>
      <c r="I814" s="12" t="n">
        <v>1407</v>
      </c>
      <c r="J814" s="12" t="n">
        <v>619.75</v>
      </c>
      <c r="K814" s="12" t="n">
        <f aca="false">I814-J814</f>
        <v>787.25</v>
      </c>
    </row>
    <row r="815" customFormat="false" ht="15" hidden="false" customHeight="false" outlineLevel="0" collapsed="false">
      <c r="A815" s="11" t="n">
        <v>46227</v>
      </c>
      <c r="B815" s="5" t="s">
        <v>899</v>
      </c>
      <c r="C815" s="5" t="s">
        <v>85</v>
      </c>
      <c r="D815" s="5" t="s">
        <v>69</v>
      </c>
      <c r="E815" s="5" t="s">
        <v>75</v>
      </c>
      <c r="F815" s="5" t="s">
        <v>83</v>
      </c>
      <c r="G815" s="5" t="n">
        <v>165</v>
      </c>
      <c r="H815" s="12" t="n">
        <v>4.2</v>
      </c>
      <c r="I815" s="12" t="n">
        <v>693</v>
      </c>
      <c r="J815" s="12" t="n">
        <v>305.25</v>
      </c>
      <c r="K815" s="12" t="n">
        <f aca="false">I815-J815</f>
        <v>387.75</v>
      </c>
    </row>
    <row r="816" customFormat="false" ht="15" hidden="false" customHeight="false" outlineLevel="0" collapsed="false">
      <c r="A816" s="11" t="n">
        <v>46227</v>
      </c>
      <c r="B816" s="5" t="s">
        <v>900</v>
      </c>
      <c r="C816" s="5" t="s">
        <v>85</v>
      </c>
      <c r="D816" s="5" t="s">
        <v>69</v>
      </c>
      <c r="E816" s="5" t="s">
        <v>65</v>
      </c>
      <c r="F816" s="5" t="s">
        <v>88</v>
      </c>
      <c r="G816" s="5" t="n">
        <v>216</v>
      </c>
      <c r="H816" s="12" t="n">
        <v>11.5</v>
      </c>
      <c r="I816" s="12" t="n">
        <v>2484</v>
      </c>
      <c r="J816" s="12" t="n">
        <v>1101.6</v>
      </c>
      <c r="K816" s="12" t="n">
        <f aca="false">I816-J816</f>
        <v>1382.4</v>
      </c>
    </row>
    <row r="817" customFormat="false" ht="15" hidden="false" customHeight="false" outlineLevel="0" collapsed="false">
      <c r="A817" s="11" t="n">
        <v>46227</v>
      </c>
      <c r="B817" s="5" t="s">
        <v>901</v>
      </c>
      <c r="C817" s="5" t="s">
        <v>73</v>
      </c>
      <c r="D817" s="5" t="s">
        <v>64</v>
      </c>
      <c r="E817" s="5" t="s">
        <v>70</v>
      </c>
      <c r="F817" s="5" t="s">
        <v>90</v>
      </c>
      <c r="G817" s="5" t="n">
        <v>1476</v>
      </c>
      <c r="H817" s="12" t="n">
        <v>2.59</v>
      </c>
      <c r="I817" s="12" t="n">
        <v>3822.84</v>
      </c>
      <c r="J817" s="12" t="n">
        <v>1771.2</v>
      </c>
      <c r="K817" s="12" t="n">
        <f aca="false">I817-J817</f>
        <v>2051.64</v>
      </c>
    </row>
    <row r="818" customFormat="false" ht="15" hidden="false" customHeight="false" outlineLevel="0" collapsed="false">
      <c r="A818" s="11" t="n">
        <v>46227</v>
      </c>
      <c r="B818" s="5" t="s">
        <v>902</v>
      </c>
      <c r="C818" s="5" t="s">
        <v>56</v>
      </c>
      <c r="D818" s="5" t="s">
        <v>57</v>
      </c>
      <c r="E818" s="5" t="s">
        <v>70</v>
      </c>
      <c r="F818" s="5" t="s">
        <v>92</v>
      </c>
      <c r="G818" s="5" t="n">
        <v>1852</v>
      </c>
      <c r="H818" s="12" t="n">
        <v>2.4</v>
      </c>
      <c r="I818" s="12" t="n">
        <v>4444.8</v>
      </c>
      <c r="J818" s="12" t="n">
        <v>1759.4</v>
      </c>
      <c r="K818" s="12" t="n">
        <f aca="false">I818-J818</f>
        <v>2685.4</v>
      </c>
    </row>
    <row r="819" customFormat="false" ht="15" hidden="false" customHeight="false" outlineLevel="0" collapsed="false">
      <c r="A819" s="11" t="n">
        <v>46228</v>
      </c>
      <c r="B819" s="5" t="s">
        <v>903</v>
      </c>
      <c r="C819" s="5" t="s">
        <v>68</v>
      </c>
      <c r="D819" s="5" t="s">
        <v>69</v>
      </c>
      <c r="E819" s="5" t="s">
        <v>75</v>
      </c>
      <c r="F819" s="5" t="s">
        <v>78</v>
      </c>
      <c r="G819" s="5" t="n">
        <v>70</v>
      </c>
      <c r="H819" s="12" t="n">
        <v>6.1</v>
      </c>
      <c r="I819" s="12" t="n">
        <v>427</v>
      </c>
      <c r="J819" s="12" t="n">
        <v>182</v>
      </c>
      <c r="K819" s="12" t="n">
        <f aca="false">I819-J819</f>
        <v>245</v>
      </c>
    </row>
    <row r="820" customFormat="false" ht="15" hidden="false" customHeight="false" outlineLevel="0" collapsed="false">
      <c r="A820" s="11" t="n">
        <v>46229</v>
      </c>
      <c r="B820" s="5" t="s">
        <v>904</v>
      </c>
      <c r="C820" s="5" t="s">
        <v>81</v>
      </c>
      <c r="D820" s="5" t="s">
        <v>64</v>
      </c>
      <c r="E820" s="5" t="s">
        <v>58</v>
      </c>
      <c r="F820" s="5" t="s">
        <v>59</v>
      </c>
      <c r="G820" s="5" t="n">
        <v>4244</v>
      </c>
      <c r="H820" s="12" t="n">
        <v>3.9</v>
      </c>
      <c r="I820" s="12" t="n">
        <v>16551.6</v>
      </c>
      <c r="J820" s="12" t="n">
        <v>7214.8</v>
      </c>
      <c r="K820" s="12" t="n">
        <f aca="false">I820-J820</f>
        <v>9336.8</v>
      </c>
    </row>
    <row r="821" customFormat="false" ht="15" hidden="false" customHeight="false" outlineLevel="0" collapsed="false">
      <c r="A821" s="11" t="n">
        <v>46229</v>
      </c>
      <c r="B821" s="5" t="s">
        <v>905</v>
      </c>
      <c r="C821" s="5" t="s">
        <v>87</v>
      </c>
      <c r="D821" s="5" t="s">
        <v>64</v>
      </c>
      <c r="E821" s="5" t="s">
        <v>75</v>
      </c>
      <c r="F821" s="5" t="s">
        <v>76</v>
      </c>
      <c r="G821" s="5" t="n">
        <v>169</v>
      </c>
      <c r="H821" s="12" t="n">
        <v>4.8</v>
      </c>
      <c r="I821" s="12" t="n">
        <v>811.2</v>
      </c>
      <c r="J821" s="12" t="n">
        <v>346.45</v>
      </c>
      <c r="K821" s="12" t="n">
        <f aca="false">I821-J821</f>
        <v>464.75</v>
      </c>
    </row>
    <row r="822" customFormat="false" ht="15" hidden="false" customHeight="false" outlineLevel="0" collapsed="false">
      <c r="A822" s="11" t="n">
        <v>46229</v>
      </c>
      <c r="B822" s="5" t="s">
        <v>906</v>
      </c>
      <c r="C822" s="5" t="s">
        <v>73</v>
      </c>
      <c r="D822" s="5" t="s">
        <v>64</v>
      </c>
      <c r="E822" s="5" t="s">
        <v>65</v>
      </c>
      <c r="F822" s="5" t="s">
        <v>103</v>
      </c>
      <c r="G822" s="5" t="n">
        <v>747</v>
      </c>
      <c r="H822" s="12" t="n">
        <v>14.59</v>
      </c>
      <c r="I822" s="12" t="n">
        <v>10898.73</v>
      </c>
      <c r="J822" s="12" t="n">
        <v>5079.6</v>
      </c>
      <c r="K822" s="12" t="n">
        <f aca="false">I822-J822</f>
        <v>5819.13</v>
      </c>
    </row>
    <row r="823" customFormat="false" ht="15" hidden="false" customHeight="false" outlineLevel="0" collapsed="false">
      <c r="A823" s="11" t="n">
        <v>46229</v>
      </c>
      <c r="B823" s="5" t="s">
        <v>907</v>
      </c>
      <c r="C823" s="5" t="s">
        <v>87</v>
      </c>
      <c r="D823" s="5" t="s">
        <v>64</v>
      </c>
      <c r="E823" s="5" t="s">
        <v>70</v>
      </c>
      <c r="F823" s="5" t="s">
        <v>90</v>
      </c>
      <c r="G823" s="5" t="n">
        <v>2008</v>
      </c>
      <c r="H823" s="12" t="n">
        <v>2.7</v>
      </c>
      <c r="I823" s="12" t="n">
        <v>5421.6</v>
      </c>
      <c r="J823" s="12" t="n">
        <v>2409.6</v>
      </c>
      <c r="K823" s="12" t="n">
        <f aca="false">I823-J823</f>
        <v>3012</v>
      </c>
    </row>
    <row r="824" customFormat="false" ht="15" hidden="false" customHeight="false" outlineLevel="0" collapsed="false">
      <c r="A824" s="11" t="n">
        <v>46230</v>
      </c>
      <c r="B824" s="5" t="s">
        <v>908</v>
      </c>
      <c r="C824" s="5" t="s">
        <v>115</v>
      </c>
      <c r="D824" s="5" t="s">
        <v>69</v>
      </c>
      <c r="E824" s="5" t="s">
        <v>58</v>
      </c>
      <c r="F824" s="5" t="s">
        <v>61</v>
      </c>
      <c r="G824" s="5" t="n">
        <v>202</v>
      </c>
      <c r="H824" s="12" t="n">
        <v>24.5</v>
      </c>
      <c r="I824" s="12" t="n">
        <v>4949</v>
      </c>
      <c r="J824" s="12" t="n">
        <v>2383.6</v>
      </c>
      <c r="K824" s="12" t="n">
        <f aca="false">I824-J824</f>
        <v>2565.4</v>
      </c>
    </row>
    <row r="825" customFormat="false" ht="15" hidden="false" customHeight="false" outlineLevel="0" collapsed="false">
      <c r="A825" s="11" t="n">
        <v>46230</v>
      </c>
      <c r="B825" s="5" t="s">
        <v>909</v>
      </c>
      <c r="C825" s="5" t="s">
        <v>68</v>
      </c>
      <c r="D825" s="5" t="s">
        <v>69</v>
      </c>
      <c r="E825" s="5" t="s">
        <v>58</v>
      </c>
      <c r="F825" s="5" t="s">
        <v>61</v>
      </c>
      <c r="G825" s="5" t="n">
        <v>258</v>
      </c>
      <c r="H825" s="12" t="n">
        <v>24.5</v>
      </c>
      <c r="I825" s="12" t="n">
        <v>6321</v>
      </c>
      <c r="J825" s="12" t="n">
        <v>3044.4</v>
      </c>
      <c r="K825" s="12" t="n">
        <f aca="false">I825-J825</f>
        <v>3276.6</v>
      </c>
    </row>
    <row r="826" customFormat="false" ht="15" hidden="false" customHeight="false" outlineLevel="0" collapsed="false">
      <c r="A826" s="11" t="n">
        <v>46230</v>
      </c>
      <c r="B826" s="5" t="s">
        <v>910</v>
      </c>
      <c r="C826" s="5" t="s">
        <v>85</v>
      </c>
      <c r="D826" s="5" t="s">
        <v>69</v>
      </c>
      <c r="E826" s="5" t="s">
        <v>58</v>
      </c>
      <c r="F826" s="5" t="s">
        <v>117</v>
      </c>
      <c r="G826" s="5" t="n">
        <v>2356</v>
      </c>
      <c r="H826" s="12" t="n">
        <v>3.4</v>
      </c>
      <c r="I826" s="12" t="n">
        <v>8010.4</v>
      </c>
      <c r="J826" s="12" t="n">
        <v>3416.2</v>
      </c>
      <c r="K826" s="12" t="n">
        <f aca="false">I826-J826</f>
        <v>4594.2</v>
      </c>
    </row>
    <row r="827" customFormat="false" ht="15" hidden="false" customHeight="false" outlineLevel="0" collapsed="false">
      <c r="A827" s="11" t="n">
        <v>46230</v>
      </c>
      <c r="B827" s="5" t="s">
        <v>911</v>
      </c>
      <c r="C827" s="5" t="s">
        <v>85</v>
      </c>
      <c r="D827" s="5" t="s">
        <v>69</v>
      </c>
      <c r="E827" s="5" t="s">
        <v>58</v>
      </c>
      <c r="F827" s="5" t="s">
        <v>96</v>
      </c>
      <c r="G827" s="5" t="n">
        <v>3815</v>
      </c>
      <c r="H827" s="12" t="n">
        <v>2.1</v>
      </c>
      <c r="I827" s="12" t="n">
        <v>8011.5</v>
      </c>
      <c r="J827" s="12" t="n">
        <v>3509.8</v>
      </c>
      <c r="K827" s="12" t="n">
        <f aca="false">I827-J827</f>
        <v>4501.7</v>
      </c>
    </row>
    <row r="828" customFormat="false" ht="15" hidden="false" customHeight="false" outlineLevel="0" collapsed="false">
      <c r="A828" s="11" t="n">
        <v>46230</v>
      </c>
      <c r="B828" s="5" t="s">
        <v>912</v>
      </c>
      <c r="C828" s="5" t="s">
        <v>94</v>
      </c>
      <c r="D828" s="5" t="s">
        <v>95</v>
      </c>
      <c r="E828" s="5" t="s">
        <v>75</v>
      </c>
      <c r="F828" s="5" t="s">
        <v>78</v>
      </c>
      <c r="G828" s="5" t="n">
        <v>231</v>
      </c>
      <c r="H828" s="12" t="n">
        <v>6.1</v>
      </c>
      <c r="I828" s="12" t="n">
        <v>1409.1</v>
      </c>
      <c r="J828" s="12" t="n">
        <v>600.6</v>
      </c>
      <c r="K828" s="12" t="n">
        <f aca="false">I828-J828</f>
        <v>808.5</v>
      </c>
    </row>
    <row r="829" customFormat="false" ht="15" hidden="false" customHeight="false" outlineLevel="0" collapsed="false">
      <c r="A829" s="11" t="n">
        <v>46230</v>
      </c>
      <c r="B829" s="5" t="s">
        <v>913</v>
      </c>
      <c r="C829" s="5" t="s">
        <v>56</v>
      </c>
      <c r="D829" s="5" t="s">
        <v>57</v>
      </c>
      <c r="E829" s="5" t="s">
        <v>65</v>
      </c>
      <c r="F829" s="5" t="s">
        <v>66</v>
      </c>
      <c r="G829" s="5" t="n">
        <v>407</v>
      </c>
      <c r="H829" s="12" t="n">
        <v>24.9</v>
      </c>
      <c r="I829" s="12" t="n">
        <v>10134.3</v>
      </c>
      <c r="J829" s="12" t="n">
        <v>4639.8</v>
      </c>
      <c r="K829" s="12" t="n">
        <f aca="false">I829-J829</f>
        <v>5494.5</v>
      </c>
    </row>
    <row r="830" customFormat="false" ht="15" hidden="false" customHeight="false" outlineLevel="0" collapsed="false">
      <c r="A830" s="11" t="n">
        <v>46230</v>
      </c>
      <c r="B830" s="5" t="s">
        <v>914</v>
      </c>
      <c r="C830" s="5" t="s">
        <v>68</v>
      </c>
      <c r="D830" s="5" t="s">
        <v>69</v>
      </c>
      <c r="E830" s="5" t="s">
        <v>70</v>
      </c>
      <c r="F830" s="5" t="s">
        <v>92</v>
      </c>
      <c r="G830" s="5" t="n">
        <v>1327</v>
      </c>
      <c r="H830" s="12" t="n">
        <v>2.4</v>
      </c>
      <c r="I830" s="12" t="n">
        <v>3184.8</v>
      </c>
      <c r="J830" s="12" t="n">
        <v>1260.65</v>
      </c>
      <c r="K830" s="12" t="n">
        <f aca="false">I830-J830</f>
        <v>1924.15</v>
      </c>
    </row>
    <row r="831" customFormat="false" ht="15" hidden="false" customHeight="false" outlineLevel="0" collapsed="false">
      <c r="A831" s="11" t="n">
        <v>46231</v>
      </c>
      <c r="B831" s="5" t="s">
        <v>915</v>
      </c>
      <c r="C831" s="5" t="s">
        <v>81</v>
      </c>
      <c r="D831" s="5" t="s">
        <v>64</v>
      </c>
      <c r="E831" s="5" t="s">
        <v>58</v>
      </c>
      <c r="F831" s="5" t="s">
        <v>61</v>
      </c>
      <c r="G831" s="5" t="n">
        <v>675</v>
      </c>
      <c r="H831" s="12" t="n">
        <v>24.5</v>
      </c>
      <c r="I831" s="12" t="n">
        <v>16537.5</v>
      </c>
      <c r="J831" s="12" t="n">
        <v>7965</v>
      </c>
      <c r="K831" s="12" t="n">
        <f aca="false">I831-J831</f>
        <v>8572.5</v>
      </c>
    </row>
    <row r="832" customFormat="false" ht="15" hidden="false" customHeight="false" outlineLevel="0" collapsed="false">
      <c r="A832" s="11" t="n">
        <v>46231</v>
      </c>
      <c r="B832" s="5" t="s">
        <v>916</v>
      </c>
      <c r="C832" s="5" t="s">
        <v>99</v>
      </c>
      <c r="D832" s="5" t="s">
        <v>69</v>
      </c>
      <c r="E832" s="5" t="s">
        <v>75</v>
      </c>
      <c r="F832" s="5" t="s">
        <v>76</v>
      </c>
      <c r="G832" s="5" t="n">
        <v>255</v>
      </c>
      <c r="H832" s="12" t="n">
        <v>4.61</v>
      </c>
      <c r="I832" s="12" t="n">
        <v>1175.55</v>
      </c>
      <c r="J832" s="12" t="n">
        <v>522.75</v>
      </c>
      <c r="K832" s="12" t="n">
        <f aca="false">I832-J832</f>
        <v>652.8</v>
      </c>
    </row>
    <row r="833" customFormat="false" ht="15" hidden="false" customHeight="false" outlineLevel="0" collapsed="false">
      <c r="A833" s="11" t="n">
        <v>46231</v>
      </c>
      <c r="B833" s="5" t="s">
        <v>917</v>
      </c>
      <c r="C833" s="5" t="s">
        <v>63</v>
      </c>
      <c r="D833" s="5" t="s">
        <v>64</v>
      </c>
      <c r="E833" s="5" t="s">
        <v>65</v>
      </c>
      <c r="F833" s="5" t="s">
        <v>66</v>
      </c>
      <c r="G833" s="5" t="n">
        <v>279</v>
      </c>
      <c r="H833" s="12" t="n">
        <v>24.9</v>
      </c>
      <c r="I833" s="12" t="n">
        <v>6947.1</v>
      </c>
      <c r="J833" s="12" t="n">
        <v>3180.6</v>
      </c>
      <c r="K833" s="12" t="n">
        <f aca="false">I833-J833</f>
        <v>3766.5</v>
      </c>
    </row>
    <row r="834" customFormat="false" ht="15" hidden="false" customHeight="false" outlineLevel="0" collapsed="false">
      <c r="A834" s="11" t="n">
        <v>46231</v>
      </c>
      <c r="B834" s="5" t="s">
        <v>918</v>
      </c>
      <c r="C834" s="5" t="s">
        <v>68</v>
      </c>
      <c r="D834" s="5" t="s">
        <v>69</v>
      </c>
      <c r="E834" s="5" t="s">
        <v>65</v>
      </c>
      <c r="F834" s="5" t="s">
        <v>103</v>
      </c>
      <c r="G834" s="5" t="n">
        <v>211</v>
      </c>
      <c r="H834" s="12" t="n">
        <v>15.2</v>
      </c>
      <c r="I834" s="12" t="n">
        <v>3207.2</v>
      </c>
      <c r="J834" s="12" t="n">
        <v>1434.8</v>
      </c>
      <c r="K834" s="12" t="n">
        <f aca="false">I834-J834</f>
        <v>1772.4</v>
      </c>
    </row>
    <row r="835" customFormat="false" ht="15" hidden="false" customHeight="false" outlineLevel="0" collapsed="false">
      <c r="A835" s="11" t="n">
        <v>46235</v>
      </c>
      <c r="B835" s="5" t="s">
        <v>919</v>
      </c>
      <c r="C835" s="5" t="s">
        <v>115</v>
      </c>
      <c r="D835" s="5" t="s">
        <v>69</v>
      </c>
      <c r="E835" s="5" t="s">
        <v>65</v>
      </c>
      <c r="F835" s="5" t="s">
        <v>66</v>
      </c>
      <c r="G835" s="5" t="n">
        <v>224</v>
      </c>
      <c r="H835" s="12" t="n">
        <v>24.9</v>
      </c>
      <c r="I835" s="12" t="n">
        <v>5577.6</v>
      </c>
      <c r="J835" s="12" t="n">
        <v>2553.6</v>
      </c>
      <c r="K835" s="12" t="n">
        <f aca="false">I835-J835</f>
        <v>3024</v>
      </c>
    </row>
    <row r="836" customFormat="false" ht="15" hidden="false" customHeight="false" outlineLevel="0" collapsed="false">
      <c r="A836" s="11" t="n">
        <v>46235</v>
      </c>
      <c r="B836" s="5" t="s">
        <v>920</v>
      </c>
      <c r="C836" s="5" t="s">
        <v>85</v>
      </c>
      <c r="D836" s="5" t="s">
        <v>69</v>
      </c>
      <c r="E836" s="5" t="s">
        <v>65</v>
      </c>
      <c r="F836" s="5" t="s">
        <v>66</v>
      </c>
      <c r="G836" s="5" t="n">
        <v>61</v>
      </c>
      <c r="H836" s="12" t="n">
        <v>24.9</v>
      </c>
      <c r="I836" s="12" t="n">
        <v>1518.9</v>
      </c>
      <c r="J836" s="12" t="n">
        <v>695.4</v>
      </c>
      <c r="K836" s="12" t="n">
        <f aca="false">I836-J836</f>
        <v>823.5</v>
      </c>
    </row>
    <row r="837" customFormat="false" ht="15" hidden="false" customHeight="false" outlineLevel="0" collapsed="false">
      <c r="A837" s="11" t="n">
        <v>46236</v>
      </c>
      <c r="B837" s="5" t="s">
        <v>921</v>
      </c>
      <c r="C837" s="5" t="s">
        <v>94</v>
      </c>
      <c r="D837" s="5" t="s">
        <v>95</v>
      </c>
      <c r="E837" s="5" t="s">
        <v>58</v>
      </c>
      <c r="F837" s="5" t="s">
        <v>61</v>
      </c>
      <c r="G837" s="5" t="n">
        <v>298</v>
      </c>
      <c r="H837" s="12" t="n">
        <v>24.5</v>
      </c>
      <c r="I837" s="12" t="n">
        <v>7301</v>
      </c>
      <c r="J837" s="12" t="n">
        <v>3516.4</v>
      </c>
      <c r="K837" s="12" t="n">
        <f aca="false">I837-J837</f>
        <v>3784.6</v>
      </c>
    </row>
    <row r="838" customFormat="false" ht="15" hidden="false" customHeight="false" outlineLevel="0" collapsed="false">
      <c r="A838" s="11" t="n">
        <v>46236</v>
      </c>
      <c r="B838" s="5" t="s">
        <v>922</v>
      </c>
      <c r="C838" s="5" t="s">
        <v>85</v>
      </c>
      <c r="D838" s="5" t="s">
        <v>69</v>
      </c>
      <c r="E838" s="5" t="s">
        <v>58</v>
      </c>
      <c r="F838" s="5" t="s">
        <v>59</v>
      </c>
      <c r="G838" s="5" t="n">
        <v>1295</v>
      </c>
      <c r="H838" s="12" t="n">
        <v>3.9</v>
      </c>
      <c r="I838" s="12" t="n">
        <v>5050.5</v>
      </c>
      <c r="J838" s="12" t="n">
        <v>2201.5</v>
      </c>
      <c r="K838" s="12" t="n">
        <f aca="false">I838-J838</f>
        <v>2849</v>
      </c>
    </row>
    <row r="839" customFormat="false" ht="15" hidden="false" customHeight="false" outlineLevel="0" collapsed="false">
      <c r="A839" s="11" t="n">
        <v>46236</v>
      </c>
      <c r="B839" s="5" t="s">
        <v>923</v>
      </c>
      <c r="C839" s="5" t="s">
        <v>94</v>
      </c>
      <c r="D839" s="5" t="s">
        <v>95</v>
      </c>
      <c r="E839" s="5" t="s">
        <v>70</v>
      </c>
      <c r="F839" s="5" t="s">
        <v>92</v>
      </c>
      <c r="G839" s="5" t="n">
        <v>1928</v>
      </c>
      <c r="H839" s="12" t="n">
        <v>2.4</v>
      </c>
      <c r="I839" s="12" t="n">
        <v>4627.2</v>
      </c>
      <c r="J839" s="12" t="n">
        <v>1831.6</v>
      </c>
      <c r="K839" s="12" t="n">
        <f aca="false">I839-J839</f>
        <v>2795.6</v>
      </c>
    </row>
    <row r="840" customFormat="false" ht="15" hidden="false" customHeight="false" outlineLevel="0" collapsed="false">
      <c r="A840" s="11" t="n">
        <v>46236</v>
      </c>
      <c r="B840" s="5" t="s">
        <v>924</v>
      </c>
      <c r="C840" s="5" t="s">
        <v>85</v>
      </c>
      <c r="D840" s="5" t="s">
        <v>69</v>
      </c>
      <c r="E840" s="5" t="s">
        <v>70</v>
      </c>
      <c r="F840" s="5" t="s">
        <v>90</v>
      </c>
      <c r="G840" s="5" t="n">
        <v>885</v>
      </c>
      <c r="H840" s="12" t="n">
        <v>2.7</v>
      </c>
      <c r="I840" s="12" t="n">
        <v>2389.5</v>
      </c>
      <c r="J840" s="12" t="n">
        <v>1062</v>
      </c>
      <c r="K840" s="12" t="n">
        <f aca="false">I840-J840</f>
        <v>1327.5</v>
      </c>
    </row>
    <row r="841" customFormat="false" ht="15" hidden="false" customHeight="false" outlineLevel="0" collapsed="false">
      <c r="A841" s="11" t="n">
        <v>46237</v>
      </c>
      <c r="B841" s="5" t="s">
        <v>925</v>
      </c>
      <c r="C841" s="5" t="s">
        <v>68</v>
      </c>
      <c r="D841" s="5" t="s">
        <v>69</v>
      </c>
      <c r="E841" s="5" t="s">
        <v>58</v>
      </c>
      <c r="F841" s="5" t="s">
        <v>117</v>
      </c>
      <c r="G841" s="5" t="n">
        <v>1112</v>
      </c>
      <c r="H841" s="12" t="n">
        <v>3.4</v>
      </c>
      <c r="I841" s="12" t="n">
        <v>3780.8</v>
      </c>
      <c r="J841" s="12" t="n">
        <v>1612.4</v>
      </c>
      <c r="K841" s="12" t="n">
        <f aca="false">I841-J841</f>
        <v>2168.4</v>
      </c>
    </row>
    <row r="842" customFormat="false" ht="15" hidden="false" customHeight="false" outlineLevel="0" collapsed="false">
      <c r="A842" s="11" t="n">
        <v>46237</v>
      </c>
      <c r="B842" s="5" t="s">
        <v>926</v>
      </c>
      <c r="C842" s="5" t="s">
        <v>87</v>
      </c>
      <c r="D842" s="5" t="s">
        <v>64</v>
      </c>
      <c r="E842" s="5" t="s">
        <v>75</v>
      </c>
      <c r="F842" s="5" t="s">
        <v>83</v>
      </c>
      <c r="G842" s="5" t="n">
        <v>369</v>
      </c>
      <c r="H842" s="12" t="n">
        <v>4.2</v>
      </c>
      <c r="I842" s="12" t="n">
        <v>1549.8</v>
      </c>
      <c r="J842" s="12" t="n">
        <v>682.65</v>
      </c>
      <c r="K842" s="12" t="n">
        <f aca="false">I842-J842</f>
        <v>867.15</v>
      </c>
    </row>
    <row r="843" customFormat="false" ht="15" hidden="false" customHeight="false" outlineLevel="0" collapsed="false">
      <c r="A843" s="11" t="n">
        <v>46237</v>
      </c>
      <c r="B843" s="5" t="s">
        <v>927</v>
      </c>
      <c r="C843" s="5" t="s">
        <v>94</v>
      </c>
      <c r="D843" s="5" t="s">
        <v>95</v>
      </c>
      <c r="E843" s="5" t="s">
        <v>70</v>
      </c>
      <c r="F843" s="5" t="s">
        <v>71</v>
      </c>
      <c r="G843" s="5" t="n">
        <v>1568</v>
      </c>
      <c r="H843" s="12" t="n">
        <v>2.95</v>
      </c>
      <c r="I843" s="12" t="n">
        <v>4625.6</v>
      </c>
      <c r="J843" s="12" t="n">
        <v>2038.4</v>
      </c>
      <c r="K843" s="12" t="n">
        <f aca="false">I843-J843</f>
        <v>2587.2</v>
      </c>
    </row>
    <row r="844" customFormat="false" ht="15" hidden="false" customHeight="false" outlineLevel="0" collapsed="false">
      <c r="A844" s="11" t="n">
        <v>46238</v>
      </c>
      <c r="B844" s="5" t="s">
        <v>928</v>
      </c>
      <c r="C844" s="5" t="s">
        <v>99</v>
      </c>
      <c r="D844" s="5" t="s">
        <v>69</v>
      </c>
      <c r="E844" s="5" t="s">
        <v>58</v>
      </c>
      <c r="F844" s="5" t="s">
        <v>61</v>
      </c>
      <c r="G844" s="5" t="n">
        <v>1017</v>
      </c>
      <c r="H844" s="12" t="n">
        <v>23.52</v>
      </c>
      <c r="I844" s="12" t="n">
        <v>23919.84</v>
      </c>
      <c r="J844" s="12" t="n">
        <v>12000.6</v>
      </c>
      <c r="K844" s="12" t="n">
        <f aca="false">I844-J844</f>
        <v>11919.24</v>
      </c>
    </row>
    <row r="845" customFormat="false" ht="15" hidden="false" customHeight="false" outlineLevel="0" collapsed="false">
      <c r="A845" s="11" t="n">
        <v>46238</v>
      </c>
      <c r="B845" s="5" t="s">
        <v>929</v>
      </c>
      <c r="C845" s="5" t="s">
        <v>73</v>
      </c>
      <c r="D845" s="5" t="s">
        <v>64</v>
      </c>
      <c r="E845" s="5" t="s">
        <v>58</v>
      </c>
      <c r="F845" s="5" t="s">
        <v>59</v>
      </c>
      <c r="G845" s="5" t="n">
        <v>3246</v>
      </c>
      <c r="H845" s="12" t="n">
        <v>3.74</v>
      </c>
      <c r="I845" s="12" t="n">
        <v>12140.04</v>
      </c>
      <c r="J845" s="12" t="n">
        <v>5518.2</v>
      </c>
      <c r="K845" s="12" t="n">
        <f aca="false">I845-J845</f>
        <v>6621.84</v>
      </c>
    </row>
    <row r="846" customFormat="false" ht="15" hidden="false" customHeight="false" outlineLevel="0" collapsed="false">
      <c r="A846" s="11" t="n">
        <v>46238</v>
      </c>
      <c r="B846" s="5" t="s">
        <v>930</v>
      </c>
      <c r="C846" s="5" t="s">
        <v>63</v>
      </c>
      <c r="D846" s="5" t="s">
        <v>64</v>
      </c>
      <c r="E846" s="5" t="s">
        <v>75</v>
      </c>
      <c r="F846" s="5" t="s">
        <v>76</v>
      </c>
      <c r="G846" s="5" t="n">
        <v>369</v>
      </c>
      <c r="H846" s="12" t="n">
        <v>4.8</v>
      </c>
      <c r="I846" s="12" t="n">
        <v>1771.2</v>
      </c>
      <c r="J846" s="12" t="n">
        <v>756.45</v>
      </c>
      <c r="K846" s="12" t="n">
        <f aca="false">I846-J846</f>
        <v>1014.75</v>
      </c>
    </row>
    <row r="847" customFormat="false" ht="15" hidden="false" customHeight="false" outlineLevel="0" collapsed="false">
      <c r="A847" s="11" t="n">
        <v>46238</v>
      </c>
      <c r="B847" s="5" t="s">
        <v>931</v>
      </c>
      <c r="C847" s="5" t="s">
        <v>94</v>
      </c>
      <c r="D847" s="5" t="s">
        <v>95</v>
      </c>
      <c r="E847" s="5" t="s">
        <v>75</v>
      </c>
      <c r="F847" s="5" t="s">
        <v>78</v>
      </c>
      <c r="G847" s="5" t="n">
        <v>123</v>
      </c>
      <c r="H847" s="12" t="n">
        <v>6.1</v>
      </c>
      <c r="I847" s="12" t="n">
        <v>750.3</v>
      </c>
      <c r="J847" s="12" t="n">
        <v>319.8</v>
      </c>
      <c r="K847" s="12" t="n">
        <f aca="false">I847-J847</f>
        <v>430.5</v>
      </c>
    </row>
    <row r="848" customFormat="false" ht="15" hidden="false" customHeight="false" outlineLevel="0" collapsed="false">
      <c r="A848" s="11" t="n">
        <v>46238</v>
      </c>
      <c r="B848" s="5" t="s">
        <v>932</v>
      </c>
      <c r="C848" s="5" t="s">
        <v>68</v>
      </c>
      <c r="D848" s="5" t="s">
        <v>69</v>
      </c>
      <c r="E848" s="5" t="s">
        <v>75</v>
      </c>
      <c r="F848" s="5" t="s">
        <v>83</v>
      </c>
      <c r="G848" s="5" t="n">
        <v>105</v>
      </c>
      <c r="H848" s="12" t="n">
        <v>4.2</v>
      </c>
      <c r="I848" s="12" t="n">
        <v>441</v>
      </c>
      <c r="J848" s="12" t="n">
        <v>194.25</v>
      </c>
      <c r="K848" s="12" t="n">
        <f aca="false">I848-J848</f>
        <v>246.75</v>
      </c>
    </row>
    <row r="849" customFormat="false" ht="15" hidden="false" customHeight="false" outlineLevel="0" collapsed="false">
      <c r="A849" s="11" t="n">
        <v>46238</v>
      </c>
      <c r="B849" s="5" t="s">
        <v>933</v>
      </c>
      <c r="C849" s="5" t="s">
        <v>85</v>
      </c>
      <c r="D849" s="5" t="s">
        <v>69</v>
      </c>
      <c r="E849" s="5" t="s">
        <v>75</v>
      </c>
      <c r="F849" s="5" t="s">
        <v>76</v>
      </c>
      <c r="G849" s="5" t="n">
        <v>114</v>
      </c>
      <c r="H849" s="12" t="n">
        <v>4.8</v>
      </c>
      <c r="I849" s="12" t="n">
        <v>547.2</v>
      </c>
      <c r="J849" s="12" t="n">
        <v>233.7</v>
      </c>
      <c r="K849" s="12" t="n">
        <f aca="false">I849-J849</f>
        <v>313.5</v>
      </c>
    </row>
    <row r="850" customFormat="false" ht="15" hidden="false" customHeight="false" outlineLevel="0" collapsed="false">
      <c r="A850" s="11" t="n">
        <v>46238</v>
      </c>
      <c r="B850" s="5" t="s">
        <v>934</v>
      </c>
      <c r="C850" s="5" t="s">
        <v>85</v>
      </c>
      <c r="D850" s="5" t="s">
        <v>69</v>
      </c>
      <c r="E850" s="5" t="s">
        <v>65</v>
      </c>
      <c r="F850" s="5" t="s">
        <v>88</v>
      </c>
      <c r="G850" s="5" t="n">
        <v>133</v>
      </c>
      <c r="H850" s="12" t="n">
        <v>11.5</v>
      </c>
      <c r="I850" s="12" t="n">
        <v>1529.5</v>
      </c>
      <c r="J850" s="12" t="n">
        <v>678.3</v>
      </c>
      <c r="K850" s="12" t="n">
        <f aca="false">I850-J850</f>
        <v>851.2</v>
      </c>
    </row>
    <row r="851" customFormat="false" ht="15" hidden="false" customHeight="false" outlineLevel="0" collapsed="false">
      <c r="A851" s="11" t="n">
        <v>46238</v>
      </c>
      <c r="B851" s="5" t="s">
        <v>935</v>
      </c>
      <c r="C851" s="5" t="s">
        <v>68</v>
      </c>
      <c r="D851" s="5" t="s">
        <v>69</v>
      </c>
      <c r="E851" s="5" t="s">
        <v>70</v>
      </c>
      <c r="F851" s="5" t="s">
        <v>90</v>
      </c>
      <c r="G851" s="5" t="n">
        <v>1183</v>
      </c>
      <c r="H851" s="12" t="n">
        <v>2.7</v>
      </c>
      <c r="I851" s="12" t="n">
        <v>3194.1</v>
      </c>
      <c r="J851" s="12" t="n">
        <v>1419.6</v>
      </c>
      <c r="K851" s="12" t="n">
        <f aca="false">I851-J851</f>
        <v>1774.5</v>
      </c>
    </row>
    <row r="852" customFormat="false" ht="15" hidden="false" customHeight="false" outlineLevel="0" collapsed="false">
      <c r="A852" s="11" t="n">
        <v>46239</v>
      </c>
      <c r="B852" s="5" t="s">
        <v>936</v>
      </c>
      <c r="C852" s="5" t="s">
        <v>68</v>
      </c>
      <c r="D852" s="5" t="s">
        <v>69</v>
      </c>
      <c r="E852" s="5" t="s">
        <v>58</v>
      </c>
      <c r="F852" s="5" t="s">
        <v>117</v>
      </c>
      <c r="G852" s="5" t="n">
        <v>1112</v>
      </c>
      <c r="H852" s="12" t="n">
        <v>3.4</v>
      </c>
      <c r="I852" s="12" t="n">
        <v>3780.8</v>
      </c>
      <c r="J852" s="12" t="n">
        <v>1612.4</v>
      </c>
      <c r="K852" s="12" t="n">
        <f aca="false">I852-J852</f>
        <v>2168.4</v>
      </c>
    </row>
    <row r="853" customFormat="false" ht="15" hidden="false" customHeight="false" outlineLevel="0" collapsed="false">
      <c r="A853" s="11" t="n">
        <v>46239</v>
      </c>
      <c r="B853" s="5" t="s">
        <v>937</v>
      </c>
      <c r="C853" s="5" t="s">
        <v>81</v>
      </c>
      <c r="D853" s="5" t="s">
        <v>64</v>
      </c>
      <c r="E853" s="5" t="s">
        <v>75</v>
      </c>
      <c r="F853" s="5" t="s">
        <v>83</v>
      </c>
      <c r="G853" s="5" t="n">
        <v>330</v>
      </c>
      <c r="H853" s="12" t="n">
        <v>4.2</v>
      </c>
      <c r="I853" s="12" t="n">
        <v>1386</v>
      </c>
      <c r="J853" s="12" t="n">
        <v>610.5</v>
      </c>
      <c r="K853" s="12" t="n">
        <f aca="false">I853-J853</f>
        <v>775.5</v>
      </c>
    </row>
    <row r="854" customFormat="false" ht="15" hidden="false" customHeight="false" outlineLevel="0" collapsed="false">
      <c r="A854" s="11" t="n">
        <v>46239</v>
      </c>
      <c r="B854" s="5" t="s">
        <v>938</v>
      </c>
      <c r="C854" s="5" t="s">
        <v>94</v>
      </c>
      <c r="D854" s="5" t="s">
        <v>95</v>
      </c>
      <c r="E854" s="5" t="s">
        <v>75</v>
      </c>
      <c r="F854" s="5" t="s">
        <v>76</v>
      </c>
      <c r="G854" s="5" t="n">
        <v>157</v>
      </c>
      <c r="H854" s="12" t="n">
        <v>4.8</v>
      </c>
      <c r="I854" s="12" t="n">
        <v>753.6</v>
      </c>
      <c r="J854" s="12" t="n">
        <v>321.85</v>
      </c>
      <c r="K854" s="12" t="n">
        <f aca="false">I854-J854</f>
        <v>431.75</v>
      </c>
    </row>
    <row r="855" customFormat="false" ht="15" hidden="false" customHeight="false" outlineLevel="0" collapsed="false">
      <c r="A855" s="11" t="n">
        <v>46239</v>
      </c>
      <c r="B855" s="5" t="s">
        <v>939</v>
      </c>
      <c r="C855" s="5" t="s">
        <v>63</v>
      </c>
      <c r="D855" s="5" t="s">
        <v>64</v>
      </c>
      <c r="E855" s="5" t="s">
        <v>65</v>
      </c>
      <c r="F855" s="5" t="s">
        <v>88</v>
      </c>
      <c r="G855" s="5" t="n">
        <v>789</v>
      </c>
      <c r="H855" s="12" t="n">
        <v>11.5</v>
      </c>
      <c r="I855" s="12" t="n">
        <v>9073.5</v>
      </c>
      <c r="J855" s="12" t="n">
        <v>4023.9</v>
      </c>
      <c r="K855" s="12" t="n">
        <f aca="false">I855-J855</f>
        <v>5049.6</v>
      </c>
    </row>
    <row r="856" customFormat="false" ht="15" hidden="false" customHeight="false" outlineLevel="0" collapsed="false">
      <c r="A856" s="11" t="n">
        <v>46239</v>
      </c>
      <c r="B856" s="5" t="s">
        <v>940</v>
      </c>
      <c r="C856" s="5" t="s">
        <v>73</v>
      </c>
      <c r="D856" s="5" t="s">
        <v>64</v>
      </c>
      <c r="E856" s="5" t="s">
        <v>65</v>
      </c>
      <c r="F856" s="5" t="s">
        <v>88</v>
      </c>
      <c r="G856" s="5" t="n">
        <v>669</v>
      </c>
      <c r="H856" s="12" t="n">
        <v>11.04</v>
      </c>
      <c r="I856" s="12" t="n">
        <v>7385.76</v>
      </c>
      <c r="J856" s="12" t="n">
        <v>3411.9</v>
      </c>
      <c r="K856" s="12" t="n">
        <f aca="false">I856-J856</f>
        <v>3973.86</v>
      </c>
    </row>
    <row r="857" customFormat="false" ht="15" hidden="false" customHeight="false" outlineLevel="0" collapsed="false">
      <c r="A857" s="11" t="n">
        <v>46240</v>
      </c>
      <c r="B857" s="5" t="s">
        <v>941</v>
      </c>
      <c r="C857" s="5" t="s">
        <v>81</v>
      </c>
      <c r="D857" s="5" t="s">
        <v>64</v>
      </c>
      <c r="E857" s="5" t="s">
        <v>58</v>
      </c>
      <c r="F857" s="5" t="s">
        <v>59</v>
      </c>
      <c r="G857" s="5" t="n">
        <v>4304</v>
      </c>
      <c r="H857" s="12" t="n">
        <v>3.9</v>
      </c>
      <c r="I857" s="12" t="n">
        <v>16785.6</v>
      </c>
      <c r="J857" s="12" t="n">
        <v>7316.8</v>
      </c>
      <c r="K857" s="12" t="n">
        <f aca="false">I857-J857</f>
        <v>9468.8</v>
      </c>
    </row>
    <row r="858" customFormat="false" ht="15" hidden="false" customHeight="false" outlineLevel="0" collapsed="false">
      <c r="A858" s="11" t="n">
        <v>46240</v>
      </c>
      <c r="B858" s="5" t="s">
        <v>942</v>
      </c>
      <c r="C858" s="5" t="s">
        <v>115</v>
      </c>
      <c r="D858" s="5" t="s">
        <v>69</v>
      </c>
      <c r="E858" s="5" t="s">
        <v>58</v>
      </c>
      <c r="F858" s="5" t="s">
        <v>61</v>
      </c>
      <c r="G858" s="5" t="n">
        <v>489</v>
      </c>
      <c r="H858" s="12" t="n">
        <v>24.5</v>
      </c>
      <c r="I858" s="12" t="n">
        <v>11980.5</v>
      </c>
      <c r="J858" s="12" t="n">
        <v>5770.2</v>
      </c>
      <c r="K858" s="12" t="n">
        <f aca="false">I858-J858</f>
        <v>6210.3</v>
      </c>
    </row>
    <row r="859" customFormat="false" ht="15" hidden="false" customHeight="false" outlineLevel="0" collapsed="false">
      <c r="A859" s="11" t="n">
        <v>46240</v>
      </c>
      <c r="B859" s="5" t="s">
        <v>943</v>
      </c>
      <c r="C859" s="5" t="s">
        <v>85</v>
      </c>
      <c r="D859" s="5" t="s">
        <v>69</v>
      </c>
      <c r="E859" s="5" t="s">
        <v>58</v>
      </c>
      <c r="F859" s="5" t="s">
        <v>96</v>
      </c>
      <c r="G859" s="5" t="n">
        <v>2405</v>
      </c>
      <c r="H859" s="12" t="n">
        <v>2.1</v>
      </c>
      <c r="I859" s="12" t="n">
        <v>5050.5</v>
      </c>
      <c r="J859" s="12" t="n">
        <v>2212.6</v>
      </c>
      <c r="K859" s="12" t="n">
        <f aca="false">I859-J859</f>
        <v>2837.9</v>
      </c>
    </row>
    <row r="860" customFormat="false" ht="15" hidden="false" customHeight="false" outlineLevel="0" collapsed="false">
      <c r="A860" s="11" t="n">
        <v>46240</v>
      </c>
      <c r="B860" s="5" t="s">
        <v>944</v>
      </c>
      <c r="C860" s="5" t="s">
        <v>68</v>
      </c>
      <c r="D860" s="5" t="s">
        <v>69</v>
      </c>
      <c r="E860" s="5" t="s">
        <v>75</v>
      </c>
      <c r="F860" s="5" t="s">
        <v>78</v>
      </c>
      <c r="G860" s="5" t="n">
        <v>72</v>
      </c>
      <c r="H860" s="12" t="n">
        <v>6.1</v>
      </c>
      <c r="I860" s="12" t="n">
        <v>439.2</v>
      </c>
      <c r="J860" s="12" t="n">
        <v>187.2</v>
      </c>
      <c r="K860" s="12" t="n">
        <f aca="false">I860-J860</f>
        <v>252</v>
      </c>
    </row>
    <row r="861" customFormat="false" ht="15" hidden="false" customHeight="false" outlineLevel="0" collapsed="false">
      <c r="A861" s="11" t="n">
        <v>46240</v>
      </c>
      <c r="B861" s="5" t="s">
        <v>945</v>
      </c>
      <c r="C861" s="5" t="s">
        <v>99</v>
      </c>
      <c r="D861" s="5" t="s">
        <v>69</v>
      </c>
      <c r="E861" s="5" t="s">
        <v>65</v>
      </c>
      <c r="F861" s="5" t="s">
        <v>66</v>
      </c>
      <c r="G861" s="5" t="n">
        <v>209</v>
      </c>
      <c r="H861" s="12" t="n">
        <v>23.9</v>
      </c>
      <c r="I861" s="12" t="n">
        <v>4995.1</v>
      </c>
      <c r="J861" s="12" t="n">
        <v>2382.6</v>
      </c>
      <c r="K861" s="12" t="n">
        <f aca="false">I861-J861</f>
        <v>2612.5</v>
      </c>
    </row>
    <row r="862" customFormat="false" ht="15" hidden="false" customHeight="false" outlineLevel="0" collapsed="false">
      <c r="A862" s="11" t="n">
        <v>46240</v>
      </c>
      <c r="B862" s="5" t="s">
        <v>946</v>
      </c>
      <c r="C862" s="5" t="s">
        <v>56</v>
      </c>
      <c r="D862" s="5" t="s">
        <v>57</v>
      </c>
      <c r="E862" s="5" t="s">
        <v>70</v>
      </c>
      <c r="F862" s="5" t="s">
        <v>92</v>
      </c>
      <c r="G862" s="5" t="n">
        <v>1187</v>
      </c>
      <c r="H862" s="12" t="n">
        <v>2.4</v>
      </c>
      <c r="I862" s="12" t="n">
        <v>2848.8</v>
      </c>
      <c r="J862" s="12" t="n">
        <v>1127.65</v>
      </c>
      <c r="K862" s="12" t="n">
        <f aca="false">I862-J862</f>
        <v>1721.15</v>
      </c>
    </row>
    <row r="863" customFormat="false" ht="15" hidden="false" customHeight="false" outlineLevel="0" collapsed="false">
      <c r="A863" s="11" t="n">
        <v>46241</v>
      </c>
      <c r="B863" s="5" t="s">
        <v>947</v>
      </c>
      <c r="C863" s="5" t="s">
        <v>73</v>
      </c>
      <c r="D863" s="5" t="s">
        <v>64</v>
      </c>
      <c r="E863" s="5" t="s">
        <v>58</v>
      </c>
      <c r="F863" s="5" t="s">
        <v>59</v>
      </c>
      <c r="G863" s="5" t="n">
        <v>3246</v>
      </c>
      <c r="H863" s="12" t="n">
        <v>3.74</v>
      </c>
      <c r="I863" s="12" t="n">
        <v>12140.04</v>
      </c>
      <c r="J863" s="12" t="n">
        <v>5518.2</v>
      </c>
      <c r="K863" s="12" t="n">
        <f aca="false">I863-J863</f>
        <v>6621.84</v>
      </c>
    </row>
    <row r="864" customFormat="false" ht="15" hidden="false" customHeight="false" outlineLevel="0" collapsed="false">
      <c r="A864" s="11" t="n">
        <v>46241</v>
      </c>
      <c r="B864" s="5" t="s">
        <v>948</v>
      </c>
      <c r="C864" s="5" t="s">
        <v>56</v>
      </c>
      <c r="D864" s="5" t="s">
        <v>57</v>
      </c>
      <c r="E864" s="5" t="s">
        <v>58</v>
      </c>
      <c r="F864" s="5" t="s">
        <v>59</v>
      </c>
      <c r="G864" s="5" t="n">
        <v>3441</v>
      </c>
      <c r="H864" s="12" t="n">
        <v>3.9</v>
      </c>
      <c r="I864" s="12" t="n">
        <v>13419.9</v>
      </c>
      <c r="J864" s="12" t="n">
        <v>5849.7</v>
      </c>
      <c r="K864" s="12" t="n">
        <f aca="false">I864-J864</f>
        <v>7570.2</v>
      </c>
    </row>
    <row r="865" customFormat="false" ht="15" hidden="false" customHeight="false" outlineLevel="0" collapsed="false">
      <c r="A865" s="11" t="n">
        <v>46241</v>
      </c>
      <c r="B865" s="5" t="s">
        <v>949</v>
      </c>
      <c r="C865" s="5" t="s">
        <v>56</v>
      </c>
      <c r="D865" s="5" t="s">
        <v>57</v>
      </c>
      <c r="E865" s="5" t="s">
        <v>65</v>
      </c>
      <c r="F865" s="5" t="s">
        <v>103</v>
      </c>
      <c r="G865" s="5" t="n">
        <v>296</v>
      </c>
      <c r="H865" s="12" t="n">
        <v>15.2</v>
      </c>
      <c r="I865" s="12" t="n">
        <v>4499.2</v>
      </c>
      <c r="J865" s="12" t="n">
        <v>2012.8</v>
      </c>
      <c r="K865" s="12" t="n">
        <f aca="false">I865-J865</f>
        <v>2486.4</v>
      </c>
    </row>
    <row r="866" customFormat="false" ht="15" hidden="false" customHeight="false" outlineLevel="0" collapsed="false">
      <c r="A866" s="11" t="n">
        <v>46241</v>
      </c>
      <c r="B866" s="5" t="s">
        <v>950</v>
      </c>
      <c r="C866" s="5" t="s">
        <v>81</v>
      </c>
      <c r="D866" s="5" t="s">
        <v>64</v>
      </c>
      <c r="E866" s="5" t="s">
        <v>70</v>
      </c>
      <c r="F866" s="5" t="s">
        <v>71</v>
      </c>
      <c r="G866" s="5" t="n">
        <v>2844</v>
      </c>
      <c r="H866" s="12" t="n">
        <v>2.95</v>
      </c>
      <c r="I866" s="12" t="n">
        <v>8389.8</v>
      </c>
      <c r="J866" s="12" t="n">
        <v>3697.2</v>
      </c>
      <c r="K866" s="12" t="n">
        <f aca="false">I866-J866</f>
        <v>4692.6</v>
      </c>
    </row>
    <row r="867" customFormat="false" ht="15" hidden="false" customHeight="false" outlineLevel="0" collapsed="false">
      <c r="A867" s="11" t="n">
        <v>46242</v>
      </c>
      <c r="B867" s="5" t="s">
        <v>951</v>
      </c>
      <c r="C867" s="5" t="s">
        <v>94</v>
      </c>
      <c r="D867" s="5" t="s">
        <v>95</v>
      </c>
      <c r="E867" s="5" t="s">
        <v>58</v>
      </c>
      <c r="F867" s="5" t="s">
        <v>96</v>
      </c>
      <c r="G867" s="5" t="n">
        <v>3477</v>
      </c>
      <c r="H867" s="12" t="n">
        <v>2.1</v>
      </c>
      <c r="I867" s="12" t="n">
        <v>7301.7</v>
      </c>
      <c r="J867" s="12" t="n">
        <v>3198.84</v>
      </c>
      <c r="K867" s="12" t="n">
        <f aca="false">I867-J867</f>
        <v>4102.86</v>
      </c>
    </row>
    <row r="868" customFormat="false" ht="15" hidden="false" customHeight="false" outlineLevel="0" collapsed="false">
      <c r="A868" s="11" t="n">
        <v>46242</v>
      </c>
      <c r="B868" s="5" t="s">
        <v>952</v>
      </c>
      <c r="C868" s="5" t="s">
        <v>85</v>
      </c>
      <c r="D868" s="5" t="s">
        <v>69</v>
      </c>
      <c r="E868" s="5" t="s">
        <v>75</v>
      </c>
      <c r="F868" s="5" t="s">
        <v>83</v>
      </c>
      <c r="G868" s="5" t="n">
        <v>130</v>
      </c>
      <c r="H868" s="12" t="n">
        <v>4.2</v>
      </c>
      <c r="I868" s="12" t="n">
        <v>546</v>
      </c>
      <c r="J868" s="12" t="n">
        <v>240.5</v>
      </c>
      <c r="K868" s="12" t="n">
        <f aca="false">I868-J868</f>
        <v>305.5</v>
      </c>
    </row>
    <row r="869" customFormat="false" ht="15" hidden="false" customHeight="false" outlineLevel="0" collapsed="false">
      <c r="A869" s="11" t="n">
        <v>46242</v>
      </c>
      <c r="B869" s="5" t="s">
        <v>953</v>
      </c>
      <c r="C869" s="5" t="s">
        <v>99</v>
      </c>
      <c r="D869" s="5" t="s">
        <v>69</v>
      </c>
      <c r="E869" s="5" t="s">
        <v>65</v>
      </c>
      <c r="F869" s="5" t="s">
        <v>66</v>
      </c>
      <c r="G869" s="5" t="n">
        <v>209</v>
      </c>
      <c r="H869" s="12" t="n">
        <v>23.9</v>
      </c>
      <c r="I869" s="12" t="n">
        <v>4995.1</v>
      </c>
      <c r="J869" s="12" t="n">
        <v>2382.6</v>
      </c>
      <c r="K869" s="12" t="n">
        <f aca="false">I869-J869</f>
        <v>2612.5</v>
      </c>
    </row>
    <row r="870" customFormat="false" ht="15" hidden="false" customHeight="false" outlineLevel="0" collapsed="false">
      <c r="A870" s="11" t="n">
        <v>46242</v>
      </c>
      <c r="B870" s="5" t="s">
        <v>954</v>
      </c>
      <c r="C870" s="5" t="s">
        <v>99</v>
      </c>
      <c r="D870" s="5" t="s">
        <v>69</v>
      </c>
      <c r="E870" s="5" t="s">
        <v>70</v>
      </c>
      <c r="F870" s="5" t="s">
        <v>71</v>
      </c>
      <c r="G870" s="5" t="n">
        <v>1571</v>
      </c>
      <c r="H870" s="12" t="n">
        <v>2.83</v>
      </c>
      <c r="I870" s="12" t="n">
        <v>4445.93</v>
      </c>
      <c r="J870" s="12" t="n">
        <v>2042.3</v>
      </c>
      <c r="K870" s="12" t="n">
        <f aca="false">I870-J870</f>
        <v>2403.63</v>
      </c>
    </row>
    <row r="871" customFormat="false" ht="15" hidden="false" customHeight="false" outlineLevel="0" collapsed="false">
      <c r="A871" s="11" t="n">
        <v>46243</v>
      </c>
      <c r="B871" s="5" t="s">
        <v>955</v>
      </c>
      <c r="C871" s="5" t="s">
        <v>94</v>
      </c>
      <c r="D871" s="5" t="s">
        <v>95</v>
      </c>
      <c r="E871" s="5" t="s">
        <v>58</v>
      </c>
      <c r="F871" s="5" t="s">
        <v>59</v>
      </c>
      <c r="G871" s="5" t="n">
        <v>1872</v>
      </c>
      <c r="H871" s="12" t="n">
        <v>3.9</v>
      </c>
      <c r="I871" s="12" t="n">
        <v>7300.8</v>
      </c>
      <c r="J871" s="12" t="n">
        <v>3182.4</v>
      </c>
      <c r="K871" s="12" t="n">
        <f aca="false">I871-J871</f>
        <v>4118.4</v>
      </c>
    </row>
    <row r="872" customFormat="false" ht="15" hidden="false" customHeight="false" outlineLevel="0" collapsed="false">
      <c r="A872" s="11" t="n">
        <v>46243</v>
      </c>
      <c r="B872" s="5" t="s">
        <v>956</v>
      </c>
      <c r="C872" s="5" t="s">
        <v>73</v>
      </c>
      <c r="D872" s="5" t="s">
        <v>64</v>
      </c>
      <c r="E872" s="5" t="s">
        <v>75</v>
      </c>
      <c r="F872" s="5" t="s">
        <v>78</v>
      </c>
      <c r="G872" s="5" t="n">
        <v>241</v>
      </c>
      <c r="H872" s="12" t="n">
        <v>5.86</v>
      </c>
      <c r="I872" s="12" t="n">
        <v>1412.26</v>
      </c>
      <c r="J872" s="12" t="n">
        <v>626.6</v>
      </c>
      <c r="K872" s="12" t="n">
        <f aca="false">I872-J872</f>
        <v>785.66</v>
      </c>
    </row>
    <row r="873" customFormat="false" ht="15" hidden="false" customHeight="false" outlineLevel="0" collapsed="false">
      <c r="A873" s="11" t="n">
        <v>46243</v>
      </c>
      <c r="B873" s="5" t="s">
        <v>957</v>
      </c>
      <c r="C873" s="5" t="s">
        <v>99</v>
      </c>
      <c r="D873" s="5" t="s">
        <v>69</v>
      </c>
      <c r="E873" s="5" t="s">
        <v>65</v>
      </c>
      <c r="F873" s="5" t="s">
        <v>103</v>
      </c>
      <c r="G873" s="5" t="n">
        <v>342</v>
      </c>
      <c r="H873" s="12" t="n">
        <v>14.59</v>
      </c>
      <c r="I873" s="12" t="n">
        <v>4989.78</v>
      </c>
      <c r="J873" s="12" t="n">
        <v>2325.6</v>
      </c>
      <c r="K873" s="12" t="n">
        <f aca="false">I873-J873</f>
        <v>2664.18</v>
      </c>
    </row>
    <row r="874" customFormat="false" ht="15" hidden="false" customHeight="false" outlineLevel="0" collapsed="false">
      <c r="A874" s="11" t="n">
        <v>46243</v>
      </c>
      <c r="B874" s="5" t="s">
        <v>958</v>
      </c>
      <c r="C874" s="5" t="s">
        <v>85</v>
      </c>
      <c r="D874" s="5" t="s">
        <v>69</v>
      </c>
      <c r="E874" s="5" t="s">
        <v>65</v>
      </c>
      <c r="F874" s="5" t="s">
        <v>103</v>
      </c>
      <c r="G874" s="5" t="n">
        <v>100</v>
      </c>
      <c r="H874" s="12" t="n">
        <v>15.2</v>
      </c>
      <c r="I874" s="12" t="n">
        <v>1520</v>
      </c>
      <c r="J874" s="12" t="n">
        <v>680</v>
      </c>
      <c r="K874" s="12" t="n">
        <f aca="false">I874-J874</f>
        <v>840</v>
      </c>
    </row>
    <row r="875" customFormat="false" ht="15" hidden="false" customHeight="false" outlineLevel="0" collapsed="false">
      <c r="A875" s="11" t="n">
        <v>46243</v>
      </c>
      <c r="B875" s="5" t="s">
        <v>959</v>
      </c>
      <c r="C875" s="5" t="s">
        <v>63</v>
      </c>
      <c r="D875" s="5" t="s">
        <v>64</v>
      </c>
      <c r="E875" s="5" t="s">
        <v>70</v>
      </c>
      <c r="F875" s="5" t="s">
        <v>71</v>
      </c>
      <c r="G875" s="5" t="n">
        <v>2116</v>
      </c>
      <c r="H875" s="12" t="n">
        <v>2.95</v>
      </c>
      <c r="I875" s="12" t="n">
        <v>6242.2</v>
      </c>
      <c r="J875" s="12" t="n">
        <v>2750.8</v>
      </c>
      <c r="K875" s="12" t="n">
        <f aca="false">I875-J875</f>
        <v>3491.4</v>
      </c>
    </row>
    <row r="876" customFormat="false" ht="15" hidden="false" customHeight="false" outlineLevel="0" collapsed="false">
      <c r="A876" s="11" t="n">
        <v>46244</v>
      </c>
      <c r="B876" s="5" t="s">
        <v>960</v>
      </c>
      <c r="C876" s="5" t="s">
        <v>63</v>
      </c>
      <c r="D876" s="5" t="s">
        <v>64</v>
      </c>
      <c r="E876" s="5" t="s">
        <v>75</v>
      </c>
      <c r="F876" s="5" t="s">
        <v>83</v>
      </c>
      <c r="G876" s="5" t="n">
        <v>422</v>
      </c>
      <c r="H876" s="12" t="n">
        <v>4.2</v>
      </c>
      <c r="I876" s="12" t="n">
        <v>1772.4</v>
      </c>
      <c r="J876" s="12" t="n">
        <v>780.7</v>
      </c>
      <c r="K876" s="12" t="n">
        <f aca="false">I876-J876</f>
        <v>991.7</v>
      </c>
    </row>
    <row r="877" customFormat="false" ht="15" hidden="false" customHeight="false" outlineLevel="0" collapsed="false">
      <c r="A877" s="11" t="n">
        <v>46244</v>
      </c>
      <c r="B877" s="5" t="s">
        <v>961</v>
      </c>
      <c r="C877" s="5" t="s">
        <v>94</v>
      </c>
      <c r="D877" s="5" t="s">
        <v>95</v>
      </c>
      <c r="E877" s="5" t="s">
        <v>75</v>
      </c>
      <c r="F877" s="5" t="s">
        <v>76</v>
      </c>
      <c r="G877" s="5" t="n">
        <v>157</v>
      </c>
      <c r="H877" s="12" t="n">
        <v>4.8</v>
      </c>
      <c r="I877" s="12" t="n">
        <v>753.6</v>
      </c>
      <c r="J877" s="12" t="n">
        <v>321.85</v>
      </c>
      <c r="K877" s="12" t="n">
        <f aca="false">I877-J877</f>
        <v>431.75</v>
      </c>
    </row>
    <row r="878" customFormat="false" ht="15" hidden="false" customHeight="false" outlineLevel="0" collapsed="false">
      <c r="A878" s="11" t="n">
        <v>46244</v>
      </c>
      <c r="B878" s="5" t="s">
        <v>962</v>
      </c>
      <c r="C878" s="5" t="s">
        <v>68</v>
      </c>
      <c r="D878" s="5" t="s">
        <v>69</v>
      </c>
      <c r="E878" s="5" t="s">
        <v>75</v>
      </c>
      <c r="F878" s="5" t="s">
        <v>76</v>
      </c>
      <c r="G878" s="5" t="n">
        <v>92</v>
      </c>
      <c r="H878" s="12" t="n">
        <v>4.8</v>
      </c>
      <c r="I878" s="12" t="n">
        <v>441.6</v>
      </c>
      <c r="J878" s="12" t="n">
        <v>188.6</v>
      </c>
      <c r="K878" s="12" t="n">
        <f aca="false">I878-J878</f>
        <v>253</v>
      </c>
    </row>
    <row r="879" customFormat="false" ht="15" hidden="false" customHeight="false" outlineLevel="0" collapsed="false">
      <c r="A879" s="11" t="n">
        <v>46244</v>
      </c>
      <c r="B879" s="5" t="s">
        <v>963</v>
      </c>
      <c r="C879" s="5" t="s">
        <v>68</v>
      </c>
      <c r="D879" s="5" t="s">
        <v>69</v>
      </c>
      <c r="E879" s="5" t="s">
        <v>65</v>
      </c>
      <c r="F879" s="5" t="s">
        <v>66</v>
      </c>
      <c r="G879" s="5" t="n">
        <v>169</v>
      </c>
      <c r="H879" s="12" t="n">
        <v>24.9</v>
      </c>
      <c r="I879" s="12" t="n">
        <v>4208.1</v>
      </c>
      <c r="J879" s="12" t="n">
        <v>1926.6</v>
      </c>
      <c r="K879" s="12" t="n">
        <f aca="false">I879-J879</f>
        <v>2281.5</v>
      </c>
    </row>
    <row r="880" customFormat="false" ht="15" hidden="false" customHeight="false" outlineLevel="0" collapsed="false">
      <c r="A880" s="11" t="n">
        <v>46244</v>
      </c>
      <c r="B880" s="5" t="s">
        <v>964</v>
      </c>
      <c r="C880" s="5" t="s">
        <v>63</v>
      </c>
      <c r="D880" s="5" t="s">
        <v>64</v>
      </c>
      <c r="E880" s="5" t="s">
        <v>70</v>
      </c>
      <c r="F880" s="5" t="s">
        <v>92</v>
      </c>
      <c r="G880" s="5" t="n">
        <v>2601</v>
      </c>
      <c r="H880" s="12" t="n">
        <v>2.4</v>
      </c>
      <c r="I880" s="12" t="n">
        <v>6242.4</v>
      </c>
      <c r="J880" s="12" t="n">
        <v>2470.95</v>
      </c>
      <c r="K880" s="12" t="n">
        <f aca="false">I880-J880</f>
        <v>3771.45</v>
      </c>
    </row>
    <row r="881" customFormat="false" ht="15" hidden="false" customHeight="false" outlineLevel="0" collapsed="false">
      <c r="A881" s="11" t="n">
        <v>46244</v>
      </c>
      <c r="B881" s="5" t="s">
        <v>965</v>
      </c>
      <c r="C881" s="5" t="s">
        <v>73</v>
      </c>
      <c r="D881" s="5" t="s">
        <v>64</v>
      </c>
      <c r="E881" s="5" t="s">
        <v>70</v>
      </c>
      <c r="F881" s="5" t="s">
        <v>71</v>
      </c>
      <c r="G881" s="5" t="n">
        <v>1499</v>
      </c>
      <c r="H881" s="12" t="n">
        <v>2.83</v>
      </c>
      <c r="I881" s="12" t="n">
        <v>4242.17</v>
      </c>
      <c r="J881" s="12" t="n">
        <v>1948.7</v>
      </c>
      <c r="K881" s="12" t="n">
        <f aca="false">I881-J881</f>
        <v>2293.47</v>
      </c>
    </row>
    <row r="882" customFormat="false" ht="15" hidden="false" customHeight="false" outlineLevel="0" collapsed="false">
      <c r="A882" s="11" t="n">
        <v>46245</v>
      </c>
      <c r="B882" s="5" t="s">
        <v>966</v>
      </c>
      <c r="C882" s="5" t="s">
        <v>63</v>
      </c>
      <c r="D882" s="5" t="s">
        <v>64</v>
      </c>
      <c r="E882" s="5" t="s">
        <v>75</v>
      </c>
      <c r="F882" s="5" t="s">
        <v>78</v>
      </c>
      <c r="G882" s="5" t="n">
        <v>290</v>
      </c>
      <c r="H882" s="12" t="n">
        <v>6.1</v>
      </c>
      <c r="I882" s="12" t="n">
        <v>1769</v>
      </c>
      <c r="J882" s="12" t="n">
        <v>754</v>
      </c>
      <c r="K882" s="12" t="n">
        <f aca="false">I882-J882</f>
        <v>1015</v>
      </c>
    </row>
    <row r="883" customFormat="false" ht="15" hidden="false" customHeight="false" outlineLevel="0" collapsed="false">
      <c r="A883" s="11" t="n">
        <v>46245</v>
      </c>
      <c r="B883" s="5" t="s">
        <v>967</v>
      </c>
      <c r="C883" s="5" t="s">
        <v>81</v>
      </c>
      <c r="D883" s="5" t="s">
        <v>64</v>
      </c>
      <c r="E883" s="5" t="s">
        <v>65</v>
      </c>
      <c r="F883" s="5" t="s">
        <v>66</v>
      </c>
      <c r="G883" s="5" t="n">
        <v>299</v>
      </c>
      <c r="H883" s="12" t="n">
        <v>24.9</v>
      </c>
      <c r="I883" s="12" t="n">
        <v>7445.1</v>
      </c>
      <c r="J883" s="12" t="n">
        <v>3408.6</v>
      </c>
      <c r="K883" s="12" t="n">
        <f aca="false">I883-J883</f>
        <v>4036.5</v>
      </c>
    </row>
    <row r="884" customFormat="false" ht="15" hidden="false" customHeight="false" outlineLevel="0" collapsed="false">
      <c r="A884" s="11" t="n">
        <v>46245</v>
      </c>
      <c r="B884" s="5" t="s">
        <v>968</v>
      </c>
      <c r="C884" s="5" t="s">
        <v>81</v>
      </c>
      <c r="D884" s="5" t="s">
        <v>64</v>
      </c>
      <c r="E884" s="5" t="s">
        <v>65</v>
      </c>
      <c r="F884" s="5" t="s">
        <v>88</v>
      </c>
      <c r="G884" s="5" t="n">
        <v>649</v>
      </c>
      <c r="H884" s="12" t="n">
        <v>11.5</v>
      </c>
      <c r="I884" s="12" t="n">
        <v>7463.5</v>
      </c>
      <c r="J884" s="12" t="n">
        <v>3309.9</v>
      </c>
      <c r="K884" s="12" t="n">
        <f aca="false">I884-J884</f>
        <v>4153.6</v>
      </c>
    </row>
    <row r="885" customFormat="false" ht="15" hidden="false" customHeight="false" outlineLevel="0" collapsed="false">
      <c r="A885" s="11" t="n">
        <v>46245</v>
      </c>
      <c r="B885" s="5" t="s">
        <v>969</v>
      </c>
      <c r="C885" s="5" t="s">
        <v>73</v>
      </c>
      <c r="D885" s="5" t="s">
        <v>64</v>
      </c>
      <c r="E885" s="5" t="s">
        <v>65</v>
      </c>
      <c r="F885" s="5" t="s">
        <v>103</v>
      </c>
      <c r="G885" s="5" t="n">
        <v>506</v>
      </c>
      <c r="H885" s="12" t="n">
        <v>14.59</v>
      </c>
      <c r="I885" s="12" t="n">
        <v>7382.54</v>
      </c>
      <c r="J885" s="12" t="n">
        <v>3440.8</v>
      </c>
      <c r="K885" s="12" t="n">
        <f aca="false">I885-J885</f>
        <v>3941.74</v>
      </c>
    </row>
    <row r="886" customFormat="false" ht="15" hidden="false" customHeight="false" outlineLevel="0" collapsed="false">
      <c r="A886" s="11" t="n">
        <v>46245</v>
      </c>
      <c r="B886" s="5" t="s">
        <v>970</v>
      </c>
      <c r="C886" s="5" t="s">
        <v>85</v>
      </c>
      <c r="D886" s="5" t="s">
        <v>69</v>
      </c>
      <c r="E886" s="5" t="s">
        <v>65</v>
      </c>
      <c r="F886" s="5" t="s">
        <v>103</v>
      </c>
      <c r="G886" s="5" t="n">
        <v>100</v>
      </c>
      <c r="H886" s="12" t="n">
        <v>15.2</v>
      </c>
      <c r="I886" s="12" t="n">
        <v>1520</v>
      </c>
      <c r="J886" s="12" t="n">
        <v>680</v>
      </c>
      <c r="K886" s="12" t="n">
        <f aca="false">I886-J886</f>
        <v>840</v>
      </c>
    </row>
    <row r="887" customFormat="false" ht="15" hidden="false" customHeight="false" outlineLevel="0" collapsed="false">
      <c r="A887" s="11" t="n">
        <v>46245</v>
      </c>
      <c r="B887" s="5" t="s">
        <v>971</v>
      </c>
      <c r="C887" s="5" t="s">
        <v>81</v>
      </c>
      <c r="D887" s="5" t="s">
        <v>64</v>
      </c>
      <c r="E887" s="5" t="s">
        <v>70</v>
      </c>
      <c r="F887" s="5" t="s">
        <v>92</v>
      </c>
      <c r="G887" s="5" t="n">
        <v>3496</v>
      </c>
      <c r="H887" s="12" t="n">
        <v>2.4</v>
      </c>
      <c r="I887" s="12" t="n">
        <v>8390.4</v>
      </c>
      <c r="J887" s="12" t="n">
        <v>3321.2</v>
      </c>
      <c r="K887" s="12" t="n">
        <f aca="false">I887-J887</f>
        <v>5069.2</v>
      </c>
    </row>
    <row r="888" customFormat="false" ht="15" hidden="false" customHeight="false" outlineLevel="0" collapsed="false">
      <c r="A888" s="11" t="n">
        <v>46245</v>
      </c>
      <c r="B888" s="5" t="s">
        <v>972</v>
      </c>
      <c r="C888" s="5" t="s">
        <v>56</v>
      </c>
      <c r="D888" s="5" t="s">
        <v>57</v>
      </c>
      <c r="E888" s="5" t="s">
        <v>70</v>
      </c>
      <c r="F888" s="5" t="s">
        <v>71</v>
      </c>
      <c r="G888" s="5" t="n">
        <v>965</v>
      </c>
      <c r="H888" s="12" t="n">
        <v>2.95</v>
      </c>
      <c r="I888" s="12" t="n">
        <v>2846.75</v>
      </c>
      <c r="J888" s="12" t="n">
        <v>1254.5</v>
      </c>
      <c r="K888" s="12" t="n">
        <f aca="false">I888-J888</f>
        <v>1592.25</v>
      </c>
    </row>
    <row r="889" customFormat="false" ht="15" hidden="false" customHeight="false" outlineLevel="0" collapsed="false">
      <c r="A889" s="11" t="n">
        <v>46246</v>
      </c>
      <c r="B889" s="5" t="s">
        <v>973</v>
      </c>
      <c r="C889" s="5" t="s">
        <v>56</v>
      </c>
      <c r="D889" s="5" t="s">
        <v>57</v>
      </c>
      <c r="E889" s="5" t="s">
        <v>75</v>
      </c>
      <c r="F889" s="5" t="s">
        <v>83</v>
      </c>
      <c r="G889" s="5" t="n">
        <v>232</v>
      </c>
      <c r="H889" s="12" t="n">
        <v>4.2</v>
      </c>
      <c r="I889" s="12" t="n">
        <v>974.4</v>
      </c>
      <c r="J889" s="12" t="n">
        <v>429.2</v>
      </c>
      <c r="K889" s="12" t="n">
        <f aca="false">I889-J889</f>
        <v>545.2</v>
      </c>
    </row>
    <row r="890" customFormat="false" ht="15" hidden="false" customHeight="false" outlineLevel="0" collapsed="false">
      <c r="A890" s="11" t="n">
        <v>46246</v>
      </c>
      <c r="B890" s="5" t="s">
        <v>974</v>
      </c>
      <c r="C890" s="5" t="s">
        <v>68</v>
      </c>
      <c r="D890" s="5" t="s">
        <v>69</v>
      </c>
      <c r="E890" s="5" t="s">
        <v>65</v>
      </c>
      <c r="F890" s="5" t="s">
        <v>88</v>
      </c>
      <c r="G890" s="5" t="n">
        <v>366</v>
      </c>
      <c r="H890" s="12" t="n">
        <v>11.5</v>
      </c>
      <c r="I890" s="12" t="n">
        <v>4209</v>
      </c>
      <c r="J890" s="12" t="n">
        <v>1866.6</v>
      </c>
      <c r="K890" s="12" t="n">
        <f aca="false">I890-J890</f>
        <v>2342.4</v>
      </c>
    </row>
    <row r="891" customFormat="false" ht="15" hidden="false" customHeight="false" outlineLevel="0" collapsed="false">
      <c r="A891" s="11" t="n">
        <v>46246</v>
      </c>
      <c r="B891" s="5" t="s">
        <v>975</v>
      </c>
      <c r="C891" s="5" t="s">
        <v>63</v>
      </c>
      <c r="D891" s="5" t="s">
        <v>64</v>
      </c>
      <c r="E891" s="5" t="s">
        <v>70</v>
      </c>
      <c r="F891" s="5" t="s">
        <v>90</v>
      </c>
      <c r="G891" s="5" t="n">
        <v>2312</v>
      </c>
      <c r="H891" s="12" t="n">
        <v>2.7</v>
      </c>
      <c r="I891" s="12" t="n">
        <v>6242.4</v>
      </c>
      <c r="J891" s="12" t="n">
        <v>2774.4</v>
      </c>
      <c r="K891" s="12" t="n">
        <f aca="false">I891-J891</f>
        <v>3468</v>
      </c>
    </row>
    <row r="892" customFormat="false" ht="15" hidden="false" customHeight="false" outlineLevel="0" collapsed="false">
      <c r="A892" s="11" t="n">
        <v>46247</v>
      </c>
      <c r="B892" s="5" t="s">
        <v>976</v>
      </c>
      <c r="C892" s="5" t="s">
        <v>115</v>
      </c>
      <c r="D892" s="5" t="s">
        <v>69</v>
      </c>
      <c r="E892" s="5" t="s">
        <v>58</v>
      </c>
      <c r="F892" s="5" t="s">
        <v>59</v>
      </c>
      <c r="G892" s="5" t="n">
        <v>3072</v>
      </c>
      <c r="H892" s="12" t="n">
        <v>3.9</v>
      </c>
      <c r="I892" s="12" t="n">
        <v>11980.8</v>
      </c>
      <c r="J892" s="12" t="n">
        <v>5222.4</v>
      </c>
      <c r="K892" s="12" t="n">
        <f aca="false">I892-J892</f>
        <v>6758.4</v>
      </c>
    </row>
    <row r="893" customFormat="false" ht="15" hidden="false" customHeight="false" outlineLevel="0" collapsed="false">
      <c r="A893" s="11" t="n">
        <v>46247</v>
      </c>
      <c r="B893" s="5" t="s">
        <v>977</v>
      </c>
      <c r="C893" s="5" t="s">
        <v>94</v>
      </c>
      <c r="D893" s="5" t="s">
        <v>95</v>
      </c>
      <c r="E893" s="5" t="s">
        <v>65</v>
      </c>
      <c r="F893" s="5" t="s">
        <v>88</v>
      </c>
      <c r="G893" s="5" t="n">
        <v>420</v>
      </c>
      <c r="H893" s="12" t="n">
        <v>11.5</v>
      </c>
      <c r="I893" s="12" t="n">
        <v>4830</v>
      </c>
      <c r="J893" s="12" t="n">
        <v>2142</v>
      </c>
      <c r="K893" s="12" t="n">
        <f aca="false">I893-J893</f>
        <v>2688</v>
      </c>
    </row>
    <row r="894" customFormat="false" ht="15" hidden="false" customHeight="false" outlineLevel="0" collapsed="false">
      <c r="A894" s="11" t="n">
        <v>46247</v>
      </c>
      <c r="B894" s="5" t="s">
        <v>978</v>
      </c>
      <c r="C894" s="5" t="s">
        <v>87</v>
      </c>
      <c r="D894" s="5" t="s">
        <v>64</v>
      </c>
      <c r="E894" s="5" t="s">
        <v>70</v>
      </c>
      <c r="F894" s="5" t="s">
        <v>71</v>
      </c>
      <c r="G894" s="5" t="n">
        <v>1281</v>
      </c>
      <c r="H894" s="12" t="n">
        <v>2.95</v>
      </c>
      <c r="I894" s="12" t="n">
        <v>3778.95</v>
      </c>
      <c r="J894" s="12" t="n">
        <v>1665.3</v>
      </c>
      <c r="K894" s="12" t="n">
        <f aca="false">I894-J894</f>
        <v>2113.65</v>
      </c>
    </row>
    <row r="895" customFormat="false" ht="15" hidden="false" customHeight="false" outlineLevel="0" collapsed="false">
      <c r="A895" s="11" t="n">
        <v>46248</v>
      </c>
      <c r="B895" s="5" t="s">
        <v>979</v>
      </c>
      <c r="C895" s="5" t="s">
        <v>73</v>
      </c>
      <c r="D895" s="5" t="s">
        <v>64</v>
      </c>
      <c r="E895" s="5" t="s">
        <v>75</v>
      </c>
      <c r="F895" s="5" t="s">
        <v>78</v>
      </c>
      <c r="G895" s="5" t="n">
        <v>241</v>
      </c>
      <c r="H895" s="12" t="n">
        <v>5.86</v>
      </c>
      <c r="I895" s="12" t="n">
        <v>1412.26</v>
      </c>
      <c r="J895" s="12" t="n">
        <v>626.6</v>
      </c>
      <c r="K895" s="12" t="n">
        <f aca="false">I895-J895</f>
        <v>785.66</v>
      </c>
    </row>
    <row r="896" customFormat="false" ht="15" hidden="false" customHeight="false" outlineLevel="0" collapsed="false">
      <c r="A896" s="11" t="n">
        <v>46248</v>
      </c>
      <c r="B896" s="5" t="s">
        <v>980</v>
      </c>
      <c r="C896" s="5" t="s">
        <v>63</v>
      </c>
      <c r="D896" s="5" t="s">
        <v>64</v>
      </c>
      <c r="E896" s="5" t="s">
        <v>65</v>
      </c>
      <c r="F896" s="5" t="s">
        <v>66</v>
      </c>
      <c r="G896" s="5" t="n">
        <v>364</v>
      </c>
      <c r="H896" s="12" t="n">
        <v>24.9</v>
      </c>
      <c r="I896" s="12" t="n">
        <v>9063.6</v>
      </c>
      <c r="J896" s="12" t="n">
        <v>4149.6</v>
      </c>
      <c r="K896" s="12" t="n">
        <f aca="false">I896-J896</f>
        <v>4914</v>
      </c>
    </row>
    <row r="897" customFormat="false" ht="15" hidden="false" customHeight="false" outlineLevel="0" collapsed="false">
      <c r="A897" s="11" t="n">
        <v>46248</v>
      </c>
      <c r="B897" s="5" t="s">
        <v>981</v>
      </c>
      <c r="C897" s="5" t="s">
        <v>115</v>
      </c>
      <c r="D897" s="5" t="s">
        <v>69</v>
      </c>
      <c r="E897" s="5" t="s">
        <v>70</v>
      </c>
      <c r="F897" s="5" t="s">
        <v>90</v>
      </c>
      <c r="G897" s="5" t="n">
        <v>1122</v>
      </c>
      <c r="H897" s="12" t="n">
        <v>2.7</v>
      </c>
      <c r="I897" s="12" t="n">
        <v>3029.4</v>
      </c>
      <c r="J897" s="12" t="n">
        <v>1346.4</v>
      </c>
      <c r="K897" s="12" t="n">
        <f aca="false">I897-J897</f>
        <v>1683</v>
      </c>
    </row>
    <row r="898" customFormat="false" ht="15" hidden="false" customHeight="false" outlineLevel="0" collapsed="false">
      <c r="A898" s="11" t="n">
        <v>46249</v>
      </c>
      <c r="B898" s="5" t="s">
        <v>982</v>
      </c>
      <c r="C898" s="5" t="s">
        <v>63</v>
      </c>
      <c r="D898" s="5" t="s">
        <v>64</v>
      </c>
      <c r="E898" s="5" t="s">
        <v>65</v>
      </c>
      <c r="F898" s="5" t="s">
        <v>66</v>
      </c>
      <c r="G898" s="5" t="n">
        <v>364</v>
      </c>
      <c r="H898" s="12" t="n">
        <v>24.9</v>
      </c>
      <c r="I898" s="12" t="n">
        <v>9063.6</v>
      </c>
      <c r="J898" s="12" t="n">
        <v>4149.6</v>
      </c>
      <c r="K898" s="12" t="n">
        <f aca="false">I898-J898</f>
        <v>4914</v>
      </c>
    </row>
    <row r="899" customFormat="false" ht="15" hidden="false" customHeight="false" outlineLevel="0" collapsed="false">
      <c r="A899" s="11" t="n">
        <v>46250</v>
      </c>
      <c r="B899" s="5" t="s">
        <v>983</v>
      </c>
      <c r="C899" s="5" t="s">
        <v>94</v>
      </c>
      <c r="D899" s="5" t="s">
        <v>95</v>
      </c>
      <c r="E899" s="5" t="s">
        <v>58</v>
      </c>
      <c r="F899" s="5" t="s">
        <v>96</v>
      </c>
      <c r="G899" s="5" t="n">
        <v>3477</v>
      </c>
      <c r="H899" s="12" t="n">
        <v>2.1</v>
      </c>
      <c r="I899" s="12" t="n">
        <v>7301.7</v>
      </c>
      <c r="J899" s="12" t="n">
        <v>3198.84</v>
      </c>
      <c r="K899" s="12" t="n">
        <f aca="false">I899-J899</f>
        <v>4102.86</v>
      </c>
    </row>
    <row r="900" customFormat="false" ht="15" hidden="false" customHeight="false" outlineLevel="0" collapsed="false">
      <c r="A900" s="11" t="n">
        <v>46250</v>
      </c>
      <c r="B900" s="5" t="s">
        <v>984</v>
      </c>
      <c r="C900" s="5" t="s">
        <v>56</v>
      </c>
      <c r="D900" s="5" t="s">
        <v>57</v>
      </c>
      <c r="E900" s="5" t="s">
        <v>58</v>
      </c>
      <c r="F900" s="5" t="s">
        <v>59</v>
      </c>
      <c r="G900" s="5" t="n">
        <v>3441</v>
      </c>
      <c r="H900" s="12" t="n">
        <v>3.9</v>
      </c>
      <c r="I900" s="12" t="n">
        <v>13419.9</v>
      </c>
      <c r="J900" s="12" t="n">
        <v>5849.7</v>
      </c>
      <c r="K900" s="12" t="n">
        <f aca="false">I900-J900</f>
        <v>7570.2</v>
      </c>
    </row>
    <row r="901" customFormat="false" ht="15" hidden="false" customHeight="false" outlineLevel="0" collapsed="false">
      <c r="A901" s="11" t="n">
        <v>46250</v>
      </c>
      <c r="B901" s="5" t="s">
        <v>985</v>
      </c>
      <c r="C901" s="5" t="s">
        <v>81</v>
      </c>
      <c r="D901" s="5" t="s">
        <v>64</v>
      </c>
      <c r="E901" s="5" t="s">
        <v>75</v>
      </c>
      <c r="F901" s="5" t="s">
        <v>76</v>
      </c>
      <c r="G901" s="5" t="n">
        <v>289</v>
      </c>
      <c r="H901" s="12" t="n">
        <v>4.8</v>
      </c>
      <c r="I901" s="12" t="n">
        <v>1387.2</v>
      </c>
      <c r="J901" s="12" t="n">
        <v>592.45</v>
      </c>
      <c r="K901" s="12" t="n">
        <f aca="false">I901-J901</f>
        <v>794.75</v>
      </c>
    </row>
    <row r="902" customFormat="false" ht="15" hidden="false" customHeight="false" outlineLevel="0" collapsed="false">
      <c r="A902" s="11" t="n">
        <v>46250</v>
      </c>
      <c r="B902" s="5" t="s">
        <v>986</v>
      </c>
      <c r="C902" s="5" t="s">
        <v>85</v>
      </c>
      <c r="D902" s="5" t="s">
        <v>69</v>
      </c>
      <c r="E902" s="5" t="s">
        <v>70</v>
      </c>
      <c r="F902" s="5" t="s">
        <v>92</v>
      </c>
      <c r="G902" s="5" t="n">
        <v>996</v>
      </c>
      <c r="H902" s="12" t="n">
        <v>2.4</v>
      </c>
      <c r="I902" s="12" t="n">
        <v>2390.4</v>
      </c>
      <c r="J902" s="12" t="n">
        <v>946.2</v>
      </c>
      <c r="K902" s="12" t="n">
        <f aca="false">I902-J902</f>
        <v>1444.2</v>
      </c>
    </row>
    <row r="903" customFormat="false" ht="15" hidden="false" customHeight="false" outlineLevel="0" collapsed="false">
      <c r="A903" s="11" t="n">
        <v>46251</v>
      </c>
      <c r="B903" s="5" t="s">
        <v>987</v>
      </c>
      <c r="C903" s="5" t="s">
        <v>115</v>
      </c>
      <c r="D903" s="5" t="s">
        <v>69</v>
      </c>
      <c r="E903" s="5" t="s">
        <v>75</v>
      </c>
      <c r="F903" s="5" t="s">
        <v>78</v>
      </c>
      <c r="G903" s="5" t="n">
        <v>124</v>
      </c>
      <c r="H903" s="12" t="n">
        <v>6.1</v>
      </c>
      <c r="I903" s="12" t="n">
        <v>756.4</v>
      </c>
      <c r="J903" s="12" t="n">
        <v>322.4</v>
      </c>
      <c r="K903" s="12" t="n">
        <f aca="false">I903-J903</f>
        <v>434</v>
      </c>
    </row>
    <row r="904" customFormat="false" ht="15" hidden="false" customHeight="false" outlineLevel="0" collapsed="false">
      <c r="A904" s="11" t="n">
        <v>46251</v>
      </c>
      <c r="B904" s="5" t="s">
        <v>988</v>
      </c>
      <c r="C904" s="5" t="s">
        <v>115</v>
      </c>
      <c r="D904" s="5" t="s">
        <v>69</v>
      </c>
      <c r="E904" s="5" t="s">
        <v>75</v>
      </c>
      <c r="F904" s="5" t="s">
        <v>83</v>
      </c>
      <c r="G904" s="5" t="n">
        <v>181</v>
      </c>
      <c r="H904" s="12" t="n">
        <v>4.2</v>
      </c>
      <c r="I904" s="12" t="n">
        <v>760.2</v>
      </c>
      <c r="J904" s="12" t="n">
        <v>334.85</v>
      </c>
      <c r="K904" s="12" t="n">
        <f aca="false">I904-J904</f>
        <v>425.35</v>
      </c>
    </row>
    <row r="905" customFormat="false" ht="15" hidden="false" customHeight="false" outlineLevel="0" collapsed="false">
      <c r="A905" s="11" t="n">
        <v>46251</v>
      </c>
      <c r="B905" s="5" t="s">
        <v>989</v>
      </c>
      <c r="C905" s="5" t="s">
        <v>68</v>
      </c>
      <c r="D905" s="5" t="s">
        <v>69</v>
      </c>
      <c r="E905" s="5" t="s">
        <v>75</v>
      </c>
      <c r="F905" s="5" t="s">
        <v>83</v>
      </c>
      <c r="G905" s="5" t="n">
        <v>105</v>
      </c>
      <c r="H905" s="12" t="n">
        <v>4.2</v>
      </c>
      <c r="I905" s="12" t="n">
        <v>441</v>
      </c>
      <c r="J905" s="12" t="n">
        <v>194.25</v>
      </c>
      <c r="K905" s="12" t="n">
        <f aca="false">I905-J905</f>
        <v>246.75</v>
      </c>
    </row>
    <row r="906" customFormat="false" ht="15" hidden="false" customHeight="false" outlineLevel="0" collapsed="false">
      <c r="A906" s="11" t="n">
        <v>46251</v>
      </c>
      <c r="B906" s="5" t="s">
        <v>990</v>
      </c>
      <c r="C906" s="5" t="s">
        <v>56</v>
      </c>
      <c r="D906" s="5" t="s">
        <v>57</v>
      </c>
      <c r="E906" s="5" t="s">
        <v>65</v>
      </c>
      <c r="F906" s="5" t="s">
        <v>88</v>
      </c>
      <c r="G906" s="5" t="n">
        <v>391</v>
      </c>
      <c r="H906" s="12" t="n">
        <v>11.5</v>
      </c>
      <c r="I906" s="12" t="n">
        <v>4496.5</v>
      </c>
      <c r="J906" s="12" t="n">
        <v>1994.1</v>
      </c>
      <c r="K906" s="12" t="n">
        <f aca="false">I906-J906</f>
        <v>2502.4</v>
      </c>
    </row>
    <row r="907" customFormat="false" ht="15" hidden="false" customHeight="false" outlineLevel="0" collapsed="false">
      <c r="A907" s="11" t="n">
        <v>46251</v>
      </c>
      <c r="B907" s="5" t="s">
        <v>991</v>
      </c>
      <c r="C907" s="5" t="s">
        <v>73</v>
      </c>
      <c r="D907" s="5" t="s">
        <v>64</v>
      </c>
      <c r="E907" s="5" t="s">
        <v>70</v>
      </c>
      <c r="F907" s="5" t="s">
        <v>71</v>
      </c>
      <c r="G907" s="5" t="n">
        <v>1499</v>
      </c>
      <c r="H907" s="12" t="n">
        <v>2.83</v>
      </c>
      <c r="I907" s="12" t="n">
        <v>4242.17</v>
      </c>
      <c r="J907" s="12" t="n">
        <v>1948.7</v>
      </c>
      <c r="K907" s="12" t="n">
        <f aca="false">I907-J907</f>
        <v>2293.47</v>
      </c>
    </row>
    <row r="908" customFormat="false" ht="15" hidden="false" customHeight="false" outlineLevel="0" collapsed="false">
      <c r="A908" s="11" t="n">
        <v>46252</v>
      </c>
      <c r="B908" s="5" t="s">
        <v>992</v>
      </c>
      <c r="C908" s="5" t="s">
        <v>63</v>
      </c>
      <c r="D908" s="5" t="s">
        <v>64</v>
      </c>
      <c r="E908" s="5" t="s">
        <v>58</v>
      </c>
      <c r="F908" s="5" t="s">
        <v>117</v>
      </c>
      <c r="G908" s="5" t="n">
        <v>9100</v>
      </c>
      <c r="H908" s="12" t="n">
        <v>3.4</v>
      </c>
      <c r="I908" s="12" t="n">
        <v>30940</v>
      </c>
      <c r="J908" s="12" t="n">
        <v>13195</v>
      </c>
      <c r="K908" s="12" t="n">
        <f aca="false">I908-J908</f>
        <v>17745</v>
      </c>
    </row>
    <row r="909" customFormat="false" ht="15" hidden="false" customHeight="false" outlineLevel="0" collapsed="false">
      <c r="A909" s="11" t="n">
        <v>46252</v>
      </c>
      <c r="B909" s="5" t="s">
        <v>992</v>
      </c>
      <c r="C909" s="5" t="s">
        <v>63</v>
      </c>
      <c r="D909" s="5" t="s">
        <v>64</v>
      </c>
      <c r="E909" s="5" t="s">
        <v>58</v>
      </c>
      <c r="F909" s="5" t="s">
        <v>117</v>
      </c>
      <c r="G909" s="5" t="n">
        <v>9100</v>
      </c>
      <c r="H909" s="12" t="n">
        <v>3.4</v>
      </c>
      <c r="I909" s="12" t="n">
        <v>30940</v>
      </c>
      <c r="J909" s="12" t="n">
        <v>13195</v>
      </c>
      <c r="K909" s="12" t="n">
        <f aca="false">I909-J909</f>
        <v>17745</v>
      </c>
    </row>
    <row r="910" customFormat="false" ht="15" hidden="false" customHeight="false" outlineLevel="0" collapsed="false">
      <c r="A910" s="11" t="n">
        <v>46252</v>
      </c>
      <c r="B910" s="5" t="s">
        <v>993</v>
      </c>
      <c r="C910" s="5" t="s">
        <v>94</v>
      </c>
      <c r="D910" s="5" t="s">
        <v>95</v>
      </c>
      <c r="E910" s="5" t="s">
        <v>75</v>
      </c>
      <c r="F910" s="5" t="s">
        <v>83</v>
      </c>
      <c r="G910" s="5" t="n">
        <v>179</v>
      </c>
      <c r="H910" s="12" t="n">
        <v>4.2</v>
      </c>
      <c r="I910" s="12" t="n">
        <v>751.8</v>
      </c>
      <c r="J910" s="12" t="n">
        <v>331.15</v>
      </c>
      <c r="K910" s="12" t="n">
        <f aca="false">I910-J910</f>
        <v>420.65</v>
      </c>
    </row>
    <row r="911" customFormat="false" ht="15" hidden="false" customHeight="false" outlineLevel="0" collapsed="false">
      <c r="A911" s="11" t="n">
        <v>46252</v>
      </c>
      <c r="B911" s="5" t="s">
        <v>994</v>
      </c>
      <c r="C911" s="5" t="s">
        <v>99</v>
      </c>
      <c r="D911" s="5" t="s">
        <v>69</v>
      </c>
      <c r="E911" s="5" t="s">
        <v>70</v>
      </c>
      <c r="F911" s="5" t="s">
        <v>71</v>
      </c>
      <c r="G911" s="5" t="n">
        <v>1571</v>
      </c>
      <c r="H911" s="12" t="n">
        <v>2.83</v>
      </c>
      <c r="I911" s="12" t="n">
        <v>4445.93</v>
      </c>
      <c r="J911" s="12" t="n">
        <v>2042.3</v>
      </c>
      <c r="K911" s="12" t="n">
        <f aca="false">I911-J911</f>
        <v>2403.63</v>
      </c>
    </row>
    <row r="912" customFormat="false" ht="15" hidden="false" customHeight="false" outlineLevel="0" collapsed="false">
      <c r="A912" s="11" t="n">
        <v>46253</v>
      </c>
      <c r="B912" s="5" t="s">
        <v>995</v>
      </c>
      <c r="C912" s="5" t="s">
        <v>99</v>
      </c>
      <c r="D912" s="5" t="s">
        <v>69</v>
      </c>
      <c r="E912" s="5" t="s">
        <v>58</v>
      </c>
      <c r="F912" s="5" t="s">
        <v>96</v>
      </c>
      <c r="G912" s="5" t="n">
        <v>11845</v>
      </c>
      <c r="H912" s="12" t="n">
        <v>2.02</v>
      </c>
      <c r="I912" s="12" t="n">
        <v>23926.9</v>
      </c>
      <c r="J912" s="12" t="n">
        <v>10897.4</v>
      </c>
      <c r="K912" s="12" t="n">
        <f aca="false">I912-J912</f>
        <v>13029.5</v>
      </c>
    </row>
    <row r="913" customFormat="false" ht="15" hidden="false" customHeight="false" outlineLevel="0" collapsed="false">
      <c r="A913" s="11" t="n">
        <v>46253</v>
      </c>
      <c r="B913" s="5" t="s">
        <v>996</v>
      </c>
      <c r="C913" s="5" t="s">
        <v>99</v>
      </c>
      <c r="D913" s="5" t="s">
        <v>69</v>
      </c>
      <c r="E913" s="5" t="s">
        <v>75</v>
      </c>
      <c r="F913" s="5" t="s">
        <v>76</v>
      </c>
      <c r="G913" s="5" t="n">
        <v>257</v>
      </c>
      <c r="H913" s="12" t="n">
        <v>4.61</v>
      </c>
      <c r="I913" s="12" t="n">
        <v>1184.77</v>
      </c>
      <c r="J913" s="12" t="n">
        <v>526.85</v>
      </c>
      <c r="K913" s="12" t="n">
        <f aca="false">I913-J913</f>
        <v>657.92</v>
      </c>
    </row>
    <row r="914" customFormat="false" ht="15" hidden="false" customHeight="false" outlineLevel="0" collapsed="false">
      <c r="A914" s="11" t="n">
        <v>46253</v>
      </c>
      <c r="B914" s="5" t="s">
        <v>997</v>
      </c>
      <c r="C914" s="5" t="s">
        <v>73</v>
      </c>
      <c r="D914" s="5" t="s">
        <v>64</v>
      </c>
      <c r="E914" s="5" t="s">
        <v>75</v>
      </c>
      <c r="F914" s="5" t="s">
        <v>78</v>
      </c>
      <c r="G914" s="5" t="n">
        <v>241</v>
      </c>
      <c r="H914" s="12" t="n">
        <v>5.86</v>
      </c>
      <c r="I914" s="12" t="n">
        <v>1412.26</v>
      </c>
      <c r="J914" s="12" t="n">
        <v>626.6</v>
      </c>
      <c r="K914" s="12" t="n">
        <f aca="false">I914-J914</f>
        <v>785.66</v>
      </c>
    </row>
    <row r="915" customFormat="false" ht="15" hidden="false" customHeight="false" outlineLevel="0" collapsed="false">
      <c r="A915" s="11" t="n">
        <v>46253</v>
      </c>
      <c r="B915" s="5" t="s">
        <v>998</v>
      </c>
      <c r="C915" s="5" t="s">
        <v>56</v>
      </c>
      <c r="D915" s="5" t="s">
        <v>57</v>
      </c>
      <c r="E915" s="5" t="s">
        <v>75</v>
      </c>
      <c r="F915" s="5" t="s">
        <v>78</v>
      </c>
      <c r="G915" s="5" t="n">
        <v>159</v>
      </c>
      <c r="H915" s="12" t="n">
        <v>6.1</v>
      </c>
      <c r="I915" s="12" t="n">
        <v>969.9</v>
      </c>
      <c r="J915" s="12" t="n">
        <v>413.4</v>
      </c>
      <c r="K915" s="12" t="n">
        <f aca="false">I915-J915</f>
        <v>556.5</v>
      </c>
    </row>
    <row r="916" customFormat="false" ht="15" hidden="false" customHeight="false" outlineLevel="0" collapsed="false">
      <c r="A916" s="11" t="n">
        <v>46253</v>
      </c>
      <c r="B916" s="5" t="s">
        <v>999</v>
      </c>
      <c r="C916" s="5" t="s">
        <v>115</v>
      </c>
      <c r="D916" s="5" t="s">
        <v>69</v>
      </c>
      <c r="E916" s="5" t="s">
        <v>65</v>
      </c>
      <c r="F916" s="5" t="s">
        <v>103</v>
      </c>
      <c r="G916" s="5" t="n">
        <v>368</v>
      </c>
      <c r="H916" s="12" t="n">
        <v>15.2</v>
      </c>
      <c r="I916" s="12" t="n">
        <v>5593.6</v>
      </c>
      <c r="J916" s="12" t="n">
        <v>2502.4</v>
      </c>
      <c r="K916" s="12" t="n">
        <f aca="false">I916-J916</f>
        <v>3091.2</v>
      </c>
    </row>
    <row r="917" customFormat="false" ht="15" hidden="false" customHeight="false" outlineLevel="0" collapsed="false">
      <c r="A917" s="11" t="n">
        <v>46253</v>
      </c>
      <c r="B917" s="5" t="s">
        <v>1000</v>
      </c>
      <c r="C917" s="5" t="s">
        <v>87</v>
      </c>
      <c r="D917" s="5" t="s">
        <v>64</v>
      </c>
      <c r="E917" s="5" t="s">
        <v>70</v>
      </c>
      <c r="F917" s="5" t="s">
        <v>92</v>
      </c>
      <c r="G917" s="5" t="n">
        <v>1575</v>
      </c>
      <c r="H917" s="12" t="n">
        <v>2.4</v>
      </c>
      <c r="I917" s="12" t="n">
        <v>3780</v>
      </c>
      <c r="J917" s="12" t="n">
        <v>1496.25</v>
      </c>
      <c r="K917" s="12" t="n">
        <f aca="false">I917-J917</f>
        <v>2283.75</v>
      </c>
    </row>
    <row r="918" customFormat="false" ht="15" hidden="false" customHeight="false" outlineLevel="0" collapsed="false">
      <c r="A918" s="11" t="n">
        <v>46254</v>
      </c>
      <c r="B918" s="5" t="s">
        <v>1001</v>
      </c>
      <c r="C918" s="5" t="s">
        <v>99</v>
      </c>
      <c r="D918" s="5" t="s">
        <v>69</v>
      </c>
      <c r="E918" s="5" t="s">
        <v>70</v>
      </c>
      <c r="F918" s="5" t="s">
        <v>90</v>
      </c>
      <c r="G918" s="5" t="n">
        <v>1717</v>
      </c>
      <c r="H918" s="12" t="n">
        <v>2.59</v>
      </c>
      <c r="I918" s="12" t="n">
        <v>4447.03</v>
      </c>
      <c r="J918" s="12" t="n">
        <v>2060.4</v>
      </c>
      <c r="K918" s="12" t="n">
        <f aca="false">I918-J918</f>
        <v>2386.63</v>
      </c>
    </row>
    <row r="919" customFormat="false" ht="15" hidden="false" customHeight="false" outlineLevel="0" collapsed="false">
      <c r="A919" s="11" t="n">
        <v>46255</v>
      </c>
      <c r="B919" s="5" t="s">
        <v>1002</v>
      </c>
      <c r="C919" s="5" t="s">
        <v>81</v>
      </c>
      <c r="D919" s="5" t="s">
        <v>64</v>
      </c>
      <c r="E919" s="5" t="s">
        <v>58</v>
      </c>
      <c r="F919" s="5" t="s">
        <v>96</v>
      </c>
      <c r="G919" s="5" t="n">
        <v>7994</v>
      </c>
      <c r="H919" s="12" t="n">
        <v>2.1</v>
      </c>
      <c r="I919" s="12" t="n">
        <v>16787.4</v>
      </c>
      <c r="J919" s="12" t="n">
        <v>7354.48</v>
      </c>
      <c r="K919" s="12" t="n">
        <f aca="false">I919-J919</f>
        <v>9432.92</v>
      </c>
    </row>
    <row r="920" customFormat="false" ht="15" hidden="false" customHeight="false" outlineLevel="0" collapsed="false">
      <c r="A920" s="11" t="n">
        <v>46255</v>
      </c>
      <c r="B920" s="5" t="s">
        <v>1003</v>
      </c>
      <c r="C920" s="5" t="s">
        <v>115</v>
      </c>
      <c r="D920" s="5" t="s">
        <v>69</v>
      </c>
      <c r="E920" s="5" t="s">
        <v>75</v>
      </c>
      <c r="F920" s="5" t="s">
        <v>83</v>
      </c>
      <c r="G920" s="5" t="n">
        <v>181</v>
      </c>
      <c r="H920" s="12" t="n">
        <v>4.2</v>
      </c>
      <c r="I920" s="12" t="n">
        <v>760.2</v>
      </c>
      <c r="J920" s="12" t="n">
        <v>334.85</v>
      </c>
      <c r="K920" s="12" t="n">
        <f aca="false">I920-J920</f>
        <v>425.35</v>
      </c>
    </row>
    <row r="921" customFormat="false" ht="15" hidden="false" customHeight="false" outlineLevel="0" collapsed="false">
      <c r="A921" s="11" t="n">
        <v>46256</v>
      </c>
      <c r="B921" s="5" t="s">
        <v>1004</v>
      </c>
      <c r="C921" s="5" t="s">
        <v>68</v>
      </c>
      <c r="D921" s="5" t="s">
        <v>69</v>
      </c>
      <c r="E921" s="5" t="s">
        <v>58</v>
      </c>
      <c r="F921" s="5" t="s">
        <v>59</v>
      </c>
      <c r="G921" s="5" t="n">
        <v>969</v>
      </c>
      <c r="H921" s="12" t="n">
        <v>3.9</v>
      </c>
      <c r="I921" s="12" t="n">
        <v>3779.1</v>
      </c>
      <c r="J921" s="12" t="n">
        <v>1647.3</v>
      </c>
      <c r="K921" s="12" t="n">
        <f aca="false">I921-J921</f>
        <v>2131.8</v>
      </c>
    </row>
    <row r="922" customFormat="false" ht="15" hidden="false" customHeight="false" outlineLevel="0" collapsed="false">
      <c r="A922" s="11" t="n">
        <v>46256</v>
      </c>
      <c r="B922" s="5" t="s">
        <v>1005</v>
      </c>
      <c r="C922" s="5" t="s">
        <v>63</v>
      </c>
      <c r="D922" s="5" t="s">
        <v>64</v>
      </c>
      <c r="E922" s="5" t="s">
        <v>75</v>
      </c>
      <c r="F922" s="5" t="s">
        <v>78</v>
      </c>
      <c r="G922" s="5" t="n">
        <v>290</v>
      </c>
      <c r="H922" s="12" t="n">
        <v>6.1</v>
      </c>
      <c r="I922" s="12" t="n">
        <v>1769</v>
      </c>
      <c r="J922" s="12" t="n">
        <v>754</v>
      </c>
      <c r="K922" s="12" t="n">
        <f aca="false">I922-J922</f>
        <v>1015</v>
      </c>
    </row>
    <row r="923" customFormat="false" ht="15" hidden="false" customHeight="false" outlineLevel="0" collapsed="false">
      <c r="A923" s="11" t="n">
        <v>46256</v>
      </c>
      <c r="B923" s="5" t="s">
        <v>1006</v>
      </c>
      <c r="C923" s="5" t="s">
        <v>68</v>
      </c>
      <c r="D923" s="5" t="s">
        <v>69</v>
      </c>
      <c r="E923" s="5" t="s">
        <v>70</v>
      </c>
      <c r="F923" s="5" t="s">
        <v>90</v>
      </c>
      <c r="G923" s="5" t="n">
        <v>1183</v>
      </c>
      <c r="H923" s="12" t="n">
        <v>2.7</v>
      </c>
      <c r="I923" s="12" t="n">
        <v>3194.1</v>
      </c>
      <c r="J923" s="12" t="n">
        <v>1419.6</v>
      </c>
      <c r="K923" s="12" t="n">
        <f aca="false">I923-J923</f>
        <v>1774.5</v>
      </c>
    </row>
    <row r="924" customFormat="false" ht="15" hidden="false" customHeight="false" outlineLevel="0" collapsed="false">
      <c r="A924" s="11" t="n">
        <v>46257</v>
      </c>
      <c r="B924" s="5" t="s">
        <v>1007</v>
      </c>
      <c r="C924" s="5" t="s">
        <v>81</v>
      </c>
      <c r="D924" s="5" t="s">
        <v>64</v>
      </c>
      <c r="E924" s="5" t="s">
        <v>58</v>
      </c>
      <c r="F924" s="5" t="s">
        <v>61</v>
      </c>
      <c r="G924" s="5" t="n">
        <v>685</v>
      </c>
      <c r="H924" s="12" t="n">
        <v>24.5</v>
      </c>
      <c r="I924" s="12" t="n">
        <v>16782.5</v>
      </c>
      <c r="J924" s="12" t="n">
        <v>8083</v>
      </c>
      <c r="K924" s="12" t="n">
        <f aca="false">I924-J924</f>
        <v>8699.5</v>
      </c>
    </row>
    <row r="925" customFormat="false" ht="15" hidden="false" customHeight="false" outlineLevel="0" collapsed="false">
      <c r="A925" s="11" t="n">
        <v>46257</v>
      </c>
      <c r="B925" s="5" t="s">
        <v>1008</v>
      </c>
      <c r="C925" s="5" t="s">
        <v>63</v>
      </c>
      <c r="D925" s="5" t="s">
        <v>64</v>
      </c>
      <c r="E925" s="5" t="s">
        <v>58</v>
      </c>
      <c r="F925" s="5" t="s">
        <v>59</v>
      </c>
      <c r="G925" s="5" t="n">
        <v>7933</v>
      </c>
      <c r="H925" s="12" t="n">
        <v>3.9</v>
      </c>
      <c r="I925" s="12" t="n">
        <v>30938.7</v>
      </c>
      <c r="J925" s="12" t="n">
        <v>13486.1</v>
      </c>
      <c r="K925" s="12" t="n">
        <f aca="false">I925-J925</f>
        <v>17452.6</v>
      </c>
    </row>
    <row r="926" customFormat="false" ht="15" hidden="false" customHeight="false" outlineLevel="0" collapsed="false">
      <c r="A926" s="11" t="n">
        <v>46257</v>
      </c>
      <c r="B926" s="5" t="s">
        <v>1009</v>
      </c>
      <c r="C926" s="5" t="s">
        <v>99</v>
      </c>
      <c r="D926" s="5" t="s">
        <v>69</v>
      </c>
      <c r="E926" s="5" t="s">
        <v>75</v>
      </c>
      <c r="F926" s="5" t="s">
        <v>78</v>
      </c>
      <c r="G926" s="5" t="n">
        <v>202</v>
      </c>
      <c r="H926" s="12" t="n">
        <v>5.86</v>
      </c>
      <c r="I926" s="12" t="n">
        <v>1183.72</v>
      </c>
      <c r="J926" s="12" t="n">
        <v>525.2</v>
      </c>
      <c r="K926" s="12" t="n">
        <f aca="false">I926-J926</f>
        <v>658.52</v>
      </c>
    </row>
    <row r="927" customFormat="false" ht="15" hidden="false" customHeight="false" outlineLevel="0" collapsed="false">
      <c r="A927" s="11" t="n">
        <v>46257</v>
      </c>
      <c r="B927" s="5" t="s">
        <v>1010</v>
      </c>
      <c r="C927" s="5" t="s">
        <v>99</v>
      </c>
      <c r="D927" s="5" t="s">
        <v>69</v>
      </c>
      <c r="E927" s="5" t="s">
        <v>75</v>
      </c>
      <c r="F927" s="5" t="s">
        <v>83</v>
      </c>
      <c r="G927" s="5" t="n">
        <v>294</v>
      </c>
      <c r="H927" s="12" t="n">
        <v>4.03</v>
      </c>
      <c r="I927" s="12" t="n">
        <v>1184.82</v>
      </c>
      <c r="J927" s="12" t="n">
        <v>543.9</v>
      </c>
      <c r="K927" s="12" t="n">
        <f aca="false">I927-J927</f>
        <v>640.92</v>
      </c>
    </row>
    <row r="928" customFormat="false" ht="15" hidden="false" customHeight="false" outlineLevel="0" collapsed="false">
      <c r="A928" s="11" t="n">
        <v>46257</v>
      </c>
      <c r="B928" s="5" t="s">
        <v>1011</v>
      </c>
      <c r="C928" s="5" t="s">
        <v>81</v>
      </c>
      <c r="D928" s="5" t="s">
        <v>64</v>
      </c>
      <c r="E928" s="5" t="s">
        <v>75</v>
      </c>
      <c r="F928" s="5" t="s">
        <v>76</v>
      </c>
      <c r="G928" s="5" t="n">
        <v>289</v>
      </c>
      <c r="H928" s="12" t="n">
        <v>4.8</v>
      </c>
      <c r="I928" s="12" t="n">
        <v>1387.2</v>
      </c>
      <c r="J928" s="12" t="n">
        <v>592.45</v>
      </c>
      <c r="K928" s="12" t="n">
        <f aca="false">I928-J928</f>
        <v>794.75</v>
      </c>
    </row>
    <row r="929" customFormat="false" ht="15" hidden="false" customHeight="false" outlineLevel="0" collapsed="false">
      <c r="A929" s="11" t="n">
        <v>46257</v>
      </c>
      <c r="B929" s="5" t="s">
        <v>1012</v>
      </c>
      <c r="C929" s="5" t="s">
        <v>87</v>
      </c>
      <c r="D929" s="5" t="s">
        <v>64</v>
      </c>
      <c r="E929" s="5" t="s">
        <v>75</v>
      </c>
      <c r="F929" s="5" t="s">
        <v>78</v>
      </c>
      <c r="G929" s="5" t="n">
        <v>254</v>
      </c>
      <c r="H929" s="12" t="n">
        <v>6.1</v>
      </c>
      <c r="I929" s="12" t="n">
        <v>1549.4</v>
      </c>
      <c r="J929" s="12" t="n">
        <v>660.4</v>
      </c>
      <c r="K929" s="12" t="n">
        <f aca="false">I929-J929</f>
        <v>889</v>
      </c>
    </row>
    <row r="930" customFormat="false" ht="15" hidden="false" customHeight="false" outlineLevel="0" collapsed="false">
      <c r="A930" s="11" t="n">
        <v>46257</v>
      </c>
      <c r="B930" s="5" t="s">
        <v>1013</v>
      </c>
      <c r="C930" s="5" t="s">
        <v>85</v>
      </c>
      <c r="D930" s="5" t="s">
        <v>69</v>
      </c>
      <c r="E930" s="5" t="s">
        <v>75</v>
      </c>
      <c r="F930" s="5" t="s">
        <v>83</v>
      </c>
      <c r="G930" s="5" t="n">
        <v>130</v>
      </c>
      <c r="H930" s="12" t="n">
        <v>4.2</v>
      </c>
      <c r="I930" s="12" t="n">
        <v>546</v>
      </c>
      <c r="J930" s="12" t="n">
        <v>240.5</v>
      </c>
      <c r="K930" s="12" t="n">
        <f aca="false">I930-J930</f>
        <v>305.5</v>
      </c>
    </row>
    <row r="931" customFormat="false" ht="15" hidden="false" customHeight="false" outlineLevel="0" collapsed="false">
      <c r="A931" s="11" t="n">
        <v>46257</v>
      </c>
      <c r="B931" s="5" t="s">
        <v>1014</v>
      </c>
      <c r="C931" s="5" t="s">
        <v>81</v>
      </c>
      <c r="D931" s="5" t="s">
        <v>64</v>
      </c>
      <c r="E931" s="5" t="s">
        <v>65</v>
      </c>
      <c r="F931" s="5" t="s">
        <v>88</v>
      </c>
      <c r="G931" s="5" t="n">
        <v>649</v>
      </c>
      <c r="H931" s="12" t="n">
        <v>11.5</v>
      </c>
      <c r="I931" s="12" t="n">
        <v>7463.5</v>
      </c>
      <c r="J931" s="12" t="n">
        <v>3309.9</v>
      </c>
      <c r="K931" s="12" t="n">
        <f aca="false">I931-J931</f>
        <v>4153.6</v>
      </c>
    </row>
    <row r="932" customFormat="false" ht="15" hidden="false" customHeight="false" outlineLevel="0" collapsed="false">
      <c r="A932" s="11" t="n">
        <v>46257</v>
      </c>
      <c r="B932" s="5" t="s">
        <v>1015</v>
      </c>
      <c r="C932" s="5" t="s">
        <v>94</v>
      </c>
      <c r="D932" s="5" t="s">
        <v>95</v>
      </c>
      <c r="E932" s="5" t="s">
        <v>65</v>
      </c>
      <c r="F932" s="5" t="s">
        <v>66</v>
      </c>
      <c r="G932" s="5" t="n">
        <v>194</v>
      </c>
      <c r="H932" s="12" t="n">
        <v>24.9</v>
      </c>
      <c r="I932" s="12" t="n">
        <v>4830.6</v>
      </c>
      <c r="J932" s="12" t="n">
        <v>2211.6</v>
      </c>
      <c r="K932" s="12" t="n">
        <f aca="false">I932-J932</f>
        <v>2619</v>
      </c>
    </row>
    <row r="933" customFormat="false" ht="15" hidden="false" customHeight="false" outlineLevel="0" collapsed="false">
      <c r="A933" s="11" t="n">
        <v>46257</v>
      </c>
      <c r="B933" s="5" t="s">
        <v>1016</v>
      </c>
      <c r="C933" s="5" t="s">
        <v>115</v>
      </c>
      <c r="D933" s="5" t="s">
        <v>69</v>
      </c>
      <c r="E933" s="5" t="s">
        <v>70</v>
      </c>
      <c r="F933" s="5" t="s">
        <v>92</v>
      </c>
      <c r="G933" s="5" t="n">
        <v>1262</v>
      </c>
      <c r="H933" s="12" t="n">
        <v>2.4</v>
      </c>
      <c r="I933" s="12" t="n">
        <v>3028.8</v>
      </c>
      <c r="J933" s="12" t="n">
        <v>1198.9</v>
      </c>
      <c r="K933" s="12" t="n">
        <f aca="false">I933-J933</f>
        <v>1829.9</v>
      </c>
    </row>
    <row r="934" customFormat="false" ht="15" hidden="false" customHeight="false" outlineLevel="0" collapsed="false">
      <c r="A934" s="11" t="n">
        <v>46258</v>
      </c>
      <c r="B934" s="5" t="s">
        <v>1017</v>
      </c>
      <c r="C934" s="5" t="s">
        <v>87</v>
      </c>
      <c r="D934" s="5" t="s">
        <v>64</v>
      </c>
      <c r="E934" s="5" t="s">
        <v>58</v>
      </c>
      <c r="F934" s="5" t="s">
        <v>96</v>
      </c>
      <c r="G934" s="5" t="n">
        <v>7362</v>
      </c>
      <c r="H934" s="12" t="n">
        <v>2.1</v>
      </c>
      <c r="I934" s="12" t="n">
        <v>15460.2</v>
      </c>
      <c r="J934" s="12" t="n">
        <v>6773.04</v>
      </c>
      <c r="K934" s="12" t="n">
        <f aca="false">I934-J934</f>
        <v>8687.16</v>
      </c>
    </row>
    <row r="935" customFormat="false" ht="15" hidden="false" customHeight="false" outlineLevel="0" collapsed="false">
      <c r="A935" s="11" t="n">
        <v>46258</v>
      </c>
      <c r="B935" s="5" t="s">
        <v>1018</v>
      </c>
      <c r="C935" s="5" t="s">
        <v>68</v>
      </c>
      <c r="D935" s="5" t="s">
        <v>69</v>
      </c>
      <c r="E935" s="5" t="s">
        <v>58</v>
      </c>
      <c r="F935" s="5" t="s">
        <v>61</v>
      </c>
      <c r="G935" s="5" t="n">
        <v>154</v>
      </c>
      <c r="H935" s="12" t="n">
        <v>24.5</v>
      </c>
      <c r="I935" s="12" t="n">
        <v>3773</v>
      </c>
      <c r="J935" s="12" t="n">
        <v>1817.2</v>
      </c>
      <c r="K935" s="12" t="n">
        <f aca="false">I935-J935</f>
        <v>1955.8</v>
      </c>
    </row>
    <row r="936" customFormat="false" ht="15" hidden="false" customHeight="false" outlineLevel="0" collapsed="false">
      <c r="A936" s="11" t="n">
        <v>46258</v>
      </c>
      <c r="B936" s="5" t="s">
        <v>1019</v>
      </c>
      <c r="C936" s="5" t="s">
        <v>56</v>
      </c>
      <c r="D936" s="5" t="s">
        <v>57</v>
      </c>
      <c r="E936" s="5" t="s">
        <v>75</v>
      </c>
      <c r="F936" s="5" t="s">
        <v>83</v>
      </c>
      <c r="G936" s="5" t="n">
        <v>232</v>
      </c>
      <c r="H936" s="12" t="n">
        <v>4.2</v>
      </c>
      <c r="I936" s="12" t="n">
        <v>974.4</v>
      </c>
      <c r="J936" s="12" t="n">
        <v>429.2</v>
      </c>
      <c r="K936" s="12" t="n">
        <f aca="false">I936-J936</f>
        <v>545.2</v>
      </c>
    </row>
    <row r="937" customFormat="false" ht="15" hidden="false" customHeight="false" outlineLevel="0" collapsed="false">
      <c r="A937" s="11" t="n">
        <v>46258</v>
      </c>
      <c r="B937" s="5" t="s">
        <v>1020</v>
      </c>
      <c r="C937" s="5" t="s">
        <v>94</v>
      </c>
      <c r="D937" s="5" t="s">
        <v>95</v>
      </c>
      <c r="E937" s="5" t="s">
        <v>65</v>
      </c>
      <c r="F937" s="5" t="s">
        <v>66</v>
      </c>
      <c r="G937" s="5" t="n">
        <v>194</v>
      </c>
      <c r="H937" s="12" t="n">
        <v>24.9</v>
      </c>
      <c r="I937" s="12" t="n">
        <v>4830.6</v>
      </c>
      <c r="J937" s="12" t="n">
        <v>2211.6</v>
      </c>
      <c r="K937" s="12" t="n">
        <f aca="false">I937-J937</f>
        <v>2619</v>
      </c>
    </row>
    <row r="938" customFormat="false" ht="15" hidden="false" customHeight="false" outlineLevel="0" collapsed="false">
      <c r="A938" s="11" t="n">
        <v>46258</v>
      </c>
      <c r="B938" s="5" t="s">
        <v>1021</v>
      </c>
      <c r="C938" s="5" t="s">
        <v>73</v>
      </c>
      <c r="D938" s="5" t="s">
        <v>64</v>
      </c>
      <c r="E938" s="5" t="s">
        <v>70</v>
      </c>
      <c r="F938" s="5" t="s">
        <v>90</v>
      </c>
      <c r="G938" s="5" t="n">
        <v>1638</v>
      </c>
      <c r="H938" s="12" t="n">
        <v>2.59</v>
      </c>
      <c r="I938" s="12" t="n">
        <v>4242.42</v>
      </c>
      <c r="J938" s="12" t="n">
        <v>1965.6</v>
      </c>
      <c r="K938" s="12" t="n">
        <f aca="false">I938-J938</f>
        <v>2276.82</v>
      </c>
    </row>
    <row r="939" customFormat="false" ht="15" hidden="false" customHeight="false" outlineLevel="0" collapsed="false">
      <c r="A939" s="11" t="n">
        <v>46258</v>
      </c>
      <c r="B939" s="5" t="s">
        <v>1022</v>
      </c>
      <c r="C939" s="5" t="s">
        <v>94</v>
      </c>
      <c r="D939" s="5" t="s">
        <v>95</v>
      </c>
      <c r="E939" s="5" t="s">
        <v>70</v>
      </c>
      <c r="F939" s="5" t="s">
        <v>92</v>
      </c>
      <c r="G939" s="5" t="n">
        <v>1928</v>
      </c>
      <c r="H939" s="12" t="n">
        <v>2.4</v>
      </c>
      <c r="I939" s="12" t="n">
        <v>4627.2</v>
      </c>
      <c r="J939" s="12" t="n">
        <v>1831.6</v>
      </c>
      <c r="K939" s="12" t="n">
        <f aca="false">I939-J939</f>
        <v>2795.6</v>
      </c>
    </row>
    <row r="940" customFormat="false" ht="15" hidden="false" customHeight="false" outlineLevel="0" collapsed="false">
      <c r="A940" s="11" t="n">
        <v>46259</v>
      </c>
      <c r="B940" s="5" t="s">
        <v>1023</v>
      </c>
      <c r="C940" s="5" t="s">
        <v>81</v>
      </c>
      <c r="D940" s="5" t="s">
        <v>64</v>
      </c>
      <c r="E940" s="5" t="s">
        <v>58</v>
      </c>
      <c r="F940" s="5" t="s">
        <v>61</v>
      </c>
      <c r="G940" s="5" t="n">
        <v>685</v>
      </c>
      <c r="H940" s="12" t="n">
        <v>24.5</v>
      </c>
      <c r="I940" s="12" t="n">
        <v>16782.5</v>
      </c>
      <c r="J940" s="12" t="n">
        <v>8083</v>
      </c>
      <c r="K940" s="12" t="n">
        <f aca="false">I940-J940</f>
        <v>8699.5</v>
      </c>
    </row>
    <row r="941" customFormat="false" ht="15" hidden="false" customHeight="false" outlineLevel="0" collapsed="false">
      <c r="A941" s="11" t="n">
        <v>46259</v>
      </c>
      <c r="B941" s="5" t="s">
        <v>1024</v>
      </c>
      <c r="C941" s="5" t="s">
        <v>87</v>
      </c>
      <c r="D941" s="5" t="s">
        <v>64</v>
      </c>
      <c r="E941" s="5" t="s">
        <v>58</v>
      </c>
      <c r="F941" s="5" t="s">
        <v>61</v>
      </c>
      <c r="G941" s="5" t="n">
        <v>631</v>
      </c>
      <c r="H941" s="12" t="n">
        <v>24.5</v>
      </c>
      <c r="I941" s="12" t="n">
        <v>15459.5</v>
      </c>
      <c r="J941" s="12" t="n">
        <v>7445.8</v>
      </c>
      <c r="K941" s="12" t="n">
        <f aca="false">I941-J941</f>
        <v>8013.7</v>
      </c>
    </row>
    <row r="942" customFormat="false" ht="15" hidden="false" customHeight="false" outlineLevel="0" collapsed="false">
      <c r="A942" s="11" t="n">
        <v>46259</v>
      </c>
      <c r="B942" s="5" t="s">
        <v>1025</v>
      </c>
      <c r="C942" s="5" t="s">
        <v>115</v>
      </c>
      <c r="D942" s="5" t="s">
        <v>69</v>
      </c>
      <c r="E942" s="5" t="s">
        <v>75</v>
      </c>
      <c r="F942" s="5" t="s">
        <v>83</v>
      </c>
      <c r="G942" s="5" t="n">
        <v>181</v>
      </c>
      <c r="H942" s="12" t="n">
        <v>4.2</v>
      </c>
      <c r="I942" s="12" t="n">
        <v>760.2</v>
      </c>
      <c r="J942" s="12" t="n">
        <v>334.85</v>
      </c>
      <c r="K942" s="12" t="n">
        <f aca="false">I942-J942</f>
        <v>425.35</v>
      </c>
    </row>
    <row r="943" customFormat="false" ht="15" hidden="false" customHeight="false" outlineLevel="0" collapsed="false">
      <c r="A943" s="11" t="n">
        <v>46259</v>
      </c>
      <c r="B943" s="5" t="s">
        <v>1026</v>
      </c>
      <c r="C943" s="5" t="s">
        <v>87</v>
      </c>
      <c r="D943" s="5" t="s">
        <v>64</v>
      </c>
      <c r="E943" s="5" t="s">
        <v>65</v>
      </c>
      <c r="F943" s="5" t="s">
        <v>66</v>
      </c>
      <c r="G943" s="5" t="n">
        <v>224</v>
      </c>
      <c r="H943" s="12" t="n">
        <v>24.9</v>
      </c>
      <c r="I943" s="12" t="n">
        <v>5577.6</v>
      </c>
      <c r="J943" s="12" t="n">
        <v>2553.6</v>
      </c>
      <c r="K943" s="12" t="n">
        <f aca="false">I943-J943</f>
        <v>3024</v>
      </c>
    </row>
    <row r="944" customFormat="false" ht="15" hidden="false" customHeight="false" outlineLevel="0" collapsed="false">
      <c r="A944" s="11" t="n">
        <v>46259</v>
      </c>
      <c r="B944" s="5" t="s">
        <v>1027</v>
      </c>
      <c r="C944" s="5" t="s">
        <v>87</v>
      </c>
      <c r="D944" s="5" t="s">
        <v>64</v>
      </c>
      <c r="E944" s="5" t="s">
        <v>65</v>
      </c>
      <c r="F944" s="5" t="s">
        <v>88</v>
      </c>
      <c r="G944" s="5" t="n">
        <v>486</v>
      </c>
      <c r="H944" s="12" t="n">
        <v>11.5</v>
      </c>
      <c r="I944" s="12" t="n">
        <v>5589</v>
      </c>
      <c r="J944" s="12" t="n">
        <v>2478.6</v>
      </c>
      <c r="K944" s="12" t="n">
        <f aca="false">I944-J944</f>
        <v>3110.4</v>
      </c>
    </row>
    <row r="945" customFormat="false" ht="15" hidden="false" customHeight="false" outlineLevel="0" collapsed="false">
      <c r="A945" s="11" t="n">
        <v>46259</v>
      </c>
      <c r="B945" s="5" t="s">
        <v>1028</v>
      </c>
      <c r="C945" s="5" t="s">
        <v>63</v>
      </c>
      <c r="D945" s="5" t="s">
        <v>64</v>
      </c>
      <c r="E945" s="5" t="s">
        <v>70</v>
      </c>
      <c r="F945" s="5" t="s">
        <v>71</v>
      </c>
      <c r="G945" s="5" t="n">
        <v>2116</v>
      </c>
      <c r="H945" s="12" t="n">
        <v>2.95</v>
      </c>
      <c r="I945" s="12" t="n">
        <v>6242.2</v>
      </c>
      <c r="J945" s="12" t="n">
        <v>2750.8</v>
      </c>
      <c r="K945" s="12" t="n">
        <f aca="false">I945-J945</f>
        <v>3491.4</v>
      </c>
    </row>
    <row r="946" customFormat="false" ht="15" hidden="false" customHeight="false" outlineLevel="0" collapsed="false">
      <c r="A946" s="11" t="n">
        <v>46259</v>
      </c>
      <c r="B946" s="5" t="s">
        <v>1029</v>
      </c>
      <c r="C946" s="5" t="s">
        <v>56</v>
      </c>
      <c r="D946" s="5" t="s">
        <v>57</v>
      </c>
      <c r="E946" s="5" t="s">
        <v>70</v>
      </c>
      <c r="F946" s="5" t="s">
        <v>90</v>
      </c>
      <c r="G946" s="5" t="n">
        <v>1055</v>
      </c>
      <c r="H946" s="12" t="n">
        <v>2.7</v>
      </c>
      <c r="I946" s="12" t="n">
        <v>2848.5</v>
      </c>
      <c r="J946" s="12" t="n">
        <v>1266</v>
      </c>
      <c r="K946" s="12" t="n">
        <f aca="false">I946-J946</f>
        <v>1582.5</v>
      </c>
    </row>
    <row r="947" customFormat="false" ht="15" hidden="false" customHeight="false" outlineLevel="0" collapsed="false">
      <c r="A947" s="11" t="n">
        <v>46260</v>
      </c>
      <c r="B947" s="5" t="s">
        <v>1030</v>
      </c>
      <c r="C947" s="5" t="s">
        <v>85</v>
      </c>
      <c r="D947" s="5" t="s">
        <v>69</v>
      </c>
      <c r="E947" s="5" t="s">
        <v>58</v>
      </c>
      <c r="F947" s="5" t="s">
        <v>61</v>
      </c>
      <c r="G947" s="5" t="n">
        <v>206</v>
      </c>
      <c r="H947" s="12" t="n">
        <v>24.5</v>
      </c>
      <c r="I947" s="12" t="n">
        <v>5047</v>
      </c>
      <c r="J947" s="12" t="n">
        <v>2430.8</v>
      </c>
      <c r="K947" s="12" t="n">
        <f aca="false">I947-J947</f>
        <v>2616.2</v>
      </c>
    </row>
    <row r="948" customFormat="false" ht="15" hidden="false" customHeight="false" outlineLevel="0" collapsed="false">
      <c r="A948" s="11" t="n">
        <v>46260</v>
      </c>
      <c r="B948" s="5" t="s">
        <v>1031</v>
      </c>
      <c r="C948" s="5" t="s">
        <v>99</v>
      </c>
      <c r="D948" s="5" t="s">
        <v>69</v>
      </c>
      <c r="E948" s="5" t="s">
        <v>75</v>
      </c>
      <c r="F948" s="5" t="s">
        <v>78</v>
      </c>
      <c r="G948" s="5" t="n">
        <v>202</v>
      </c>
      <c r="H948" s="12" t="n">
        <v>5.86</v>
      </c>
      <c r="I948" s="12" t="n">
        <v>1183.72</v>
      </c>
      <c r="J948" s="12" t="n">
        <v>525.2</v>
      </c>
      <c r="K948" s="12" t="n">
        <f aca="false">I948-J948</f>
        <v>658.52</v>
      </c>
    </row>
    <row r="949" customFormat="false" ht="15" hidden="false" customHeight="false" outlineLevel="0" collapsed="false">
      <c r="A949" s="11" t="n">
        <v>46260</v>
      </c>
      <c r="B949" s="5" t="s">
        <v>1032</v>
      </c>
      <c r="C949" s="5" t="s">
        <v>87</v>
      </c>
      <c r="D949" s="5" t="s">
        <v>64</v>
      </c>
      <c r="E949" s="5" t="s">
        <v>70</v>
      </c>
      <c r="F949" s="5" t="s">
        <v>90</v>
      </c>
      <c r="G949" s="5" t="n">
        <v>1400</v>
      </c>
      <c r="H949" s="12" t="n">
        <v>2.7</v>
      </c>
      <c r="I949" s="12" t="n">
        <v>3780</v>
      </c>
      <c r="J949" s="12" t="n">
        <v>1680</v>
      </c>
      <c r="K949" s="12" t="n">
        <f aca="false">I949-J949</f>
        <v>2100</v>
      </c>
    </row>
    <row r="950" customFormat="false" ht="15" hidden="false" customHeight="false" outlineLevel="0" collapsed="false">
      <c r="A950" s="11" t="n">
        <v>46260</v>
      </c>
      <c r="B950" s="5" t="s">
        <v>1033</v>
      </c>
      <c r="C950" s="5" t="s">
        <v>115</v>
      </c>
      <c r="D950" s="5" t="s">
        <v>69</v>
      </c>
      <c r="E950" s="5" t="s">
        <v>70</v>
      </c>
      <c r="F950" s="5" t="s">
        <v>92</v>
      </c>
      <c r="G950" s="5" t="n">
        <v>1262</v>
      </c>
      <c r="H950" s="12" t="n">
        <v>2.4</v>
      </c>
      <c r="I950" s="12" t="n">
        <v>3028.8</v>
      </c>
      <c r="J950" s="12" t="n">
        <v>1198.9</v>
      </c>
      <c r="K950" s="12" t="n">
        <f aca="false">I950-J950</f>
        <v>1829.9</v>
      </c>
    </row>
    <row r="951" customFormat="false" ht="15" hidden="false" customHeight="false" outlineLevel="0" collapsed="false">
      <c r="A951" s="11" t="n">
        <v>46261</v>
      </c>
      <c r="B951" s="5" t="s">
        <v>1034</v>
      </c>
      <c r="C951" s="5" t="s">
        <v>56</v>
      </c>
      <c r="D951" s="5" t="s">
        <v>57</v>
      </c>
      <c r="E951" s="5" t="s">
        <v>65</v>
      </c>
      <c r="F951" s="5" t="s">
        <v>66</v>
      </c>
      <c r="G951" s="5" t="n">
        <v>180</v>
      </c>
      <c r="H951" s="12" t="n">
        <v>24.9</v>
      </c>
      <c r="I951" s="12" t="n">
        <v>4482</v>
      </c>
      <c r="J951" s="12" t="n">
        <v>2052</v>
      </c>
      <c r="K951" s="12" t="n">
        <f aca="false">I951-J951</f>
        <v>2430</v>
      </c>
    </row>
    <row r="952" customFormat="false" ht="15" hidden="false" customHeight="false" outlineLevel="0" collapsed="false">
      <c r="A952" s="11" t="n">
        <v>46261</v>
      </c>
      <c r="B952" s="5" t="s">
        <v>1035</v>
      </c>
      <c r="C952" s="5" t="s">
        <v>81</v>
      </c>
      <c r="D952" s="5" t="s">
        <v>64</v>
      </c>
      <c r="E952" s="5" t="s">
        <v>70</v>
      </c>
      <c r="F952" s="5" t="s">
        <v>92</v>
      </c>
      <c r="G952" s="5" t="n">
        <v>3496</v>
      </c>
      <c r="H952" s="12" t="n">
        <v>2.4</v>
      </c>
      <c r="I952" s="12" t="n">
        <v>8390.4</v>
      </c>
      <c r="J952" s="12" t="n">
        <v>3321.2</v>
      </c>
      <c r="K952" s="12" t="n">
        <f aca="false">I952-J952</f>
        <v>5069.2</v>
      </c>
    </row>
    <row r="953" customFormat="false" ht="15" hidden="false" customHeight="false" outlineLevel="0" collapsed="false">
      <c r="A953" s="11" t="n">
        <v>46261</v>
      </c>
      <c r="B953" s="5" t="s">
        <v>1036</v>
      </c>
      <c r="C953" s="5" t="s">
        <v>56</v>
      </c>
      <c r="D953" s="5" t="s">
        <v>57</v>
      </c>
      <c r="E953" s="5" t="s">
        <v>70</v>
      </c>
      <c r="F953" s="5" t="s">
        <v>71</v>
      </c>
      <c r="G953" s="5" t="n">
        <v>965</v>
      </c>
      <c r="H953" s="12" t="n">
        <v>2.95</v>
      </c>
      <c r="I953" s="12" t="n">
        <v>2846.75</v>
      </c>
      <c r="J953" s="12" t="n">
        <v>1254.5</v>
      </c>
      <c r="K953" s="12" t="n">
        <f aca="false">I953-J953</f>
        <v>1592.25</v>
      </c>
    </row>
    <row r="954" customFormat="false" ht="15" hidden="false" customHeight="false" outlineLevel="0" collapsed="false">
      <c r="A954" s="11" t="n">
        <v>46262</v>
      </c>
      <c r="B954" s="5" t="s">
        <v>1037</v>
      </c>
      <c r="C954" s="5" t="s">
        <v>73</v>
      </c>
      <c r="D954" s="5" t="s">
        <v>64</v>
      </c>
      <c r="E954" s="5" t="s">
        <v>58</v>
      </c>
      <c r="F954" s="5" t="s">
        <v>61</v>
      </c>
      <c r="G954" s="5" t="n">
        <v>516</v>
      </c>
      <c r="H954" s="12" t="n">
        <v>23.52</v>
      </c>
      <c r="I954" s="12" t="n">
        <v>12136.32</v>
      </c>
      <c r="J954" s="12" t="n">
        <v>6088.8</v>
      </c>
      <c r="K954" s="12" t="n">
        <f aca="false">I954-J954</f>
        <v>6047.52</v>
      </c>
    </row>
    <row r="955" customFormat="false" ht="15" hidden="false" customHeight="false" outlineLevel="0" collapsed="false">
      <c r="A955" s="11" t="n">
        <v>46262</v>
      </c>
      <c r="B955" s="5" t="s">
        <v>1038</v>
      </c>
      <c r="C955" s="5" t="s">
        <v>81</v>
      </c>
      <c r="D955" s="5" t="s">
        <v>64</v>
      </c>
      <c r="E955" s="5" t="s">
        <v>75</v>
      </c>
      <c r="F955" s="5" t="s">
        <v>76</v>
      </c>
      <c r="G955" s="5" t="n">
        <v>289</v>
      </c>
      <c r="H955" s="12" t="n">
        <v>4.8</v>
      </c>
      <c r="I955" s="12" t="n">
        <v>1387.2</v>
      </c>
      <c r="J955" s="12" t="n">
        <v>592.45</v>
      </c>
      <c r="K955" s="12" t="n">
        <f aca="false">I955-J955</f>
        <v>794.75</v>
      </c>
    </row>
    <row r="956" customFormat="false" ht="15" hidden="false" customHeight="false" outlineLevel="0" collapsed="false">
      <c r="A956" s="11" t="n">
        <v>46262</v>
      </c>
      <c r="B956" s="5" t="s">
        <v>1039</v>
      </c>
      <c r="C956" s="5" t="s">
        <v>56</v>
      </c>
      <c r="D956" s="5" t="s">
        <v>57</v>
      </c>
      <c r="E956" s="5" t="s">
        <v>75</v>
      </c>
      <c r="F956" s="5" t="s">
        <v>78</v>
      </c>
      <c r="G956" s="5" t="n">
        <v>159</v>
      </c>
      <c r="H956" s="12" t="n">
        <v>6.1</v>
      </c>
      <c r="I956" s="12" t="n">
        <v>969.9</v>
      </c>
      <c r="J956" s="12" t="n">
        <v>413.4</v>
      </c>
      <c r="K956" s="12" t="n">
        <f aca="false">I956-J956</f>
        <v>556.5</v>
      </c>
    </row>
    <row r="957" customFormat="false" ht="15" hidden="false" customHeight="false" outlineLevel="0" collapsed="false">
      <c r="A957" s="11" t="n">
        <v>46262</v>
      </c>
      <c r="B957" s="5" t="s">
        <v>1040</v>
      </c>
      <c r="C957" s="5" t="s">
        <v>99</v>
      </c>
      <c r="D957" s="5" t="s">
        <v>69</v>
      </c>
      <c r="E957" s="5" t="s">
        <v>65</v>
      </c>
      <c r="F957" s="5" t="s">
        <v>66</v>
      </c>
      <c r="G957" s="5" t="n">
        <v>209</v>
      </c>
      <c r="H957" s="12" t="n">
        <v>23.9</v>
      </c>
      <c r="I957" s="12" t="n">
        <v>4995.1</v>
      </c>
      <c r="J957" s="12" t="n">
        <v>2382.6</v>
      </c>
      <c r="K957" s="12" t="n">
        <f aca="false">I957-J957</f>
        <v>2612.5</v>
      </c>
    </row>
    <row r="958" customFormat="false" ht="15" hidden="false" customHeight="false" outlineLevel="0" collapsed="false">
      <c r="A958" s="11" t="n">
        <v>46262</v>
      </c>
      <c r="B958" s="5" t="s">
        <v>1041</v>
      </c>
      <c r="C958" s="5" t="s">
        <v>87</v>
      </c>
      <c r="D958" s="5" t="s">
        <v>64</v>
      </c>
      <c r="E958" s="5" t="s">
        <v>65</v>
      </c>
      <c r="F958" s="5" t="s">
        <v>66</v>
      </c>
      <c r="G958" s="5" t="n">
        <v>224</v>
      </c>
      <c r="H958" s="12" t="n">
        <v>24.9</v>
      </c>
      <c r="I958" s="12" t="n">
        <v>5577.6</v>
      </c>
      <c r="J958" s="12" t="n">
        <v>2553.6</v>
      </c>
      <c r="K958" s="12" t="n">
        <f aca="false">I958-J958</f>
        <v>3024</v>
      </c>
    </row>
    <row r="959" customFormat="false" ht="15" hidden="false" customHeight="false" outlineLevel="0" collapsed="false">
      <c r="A959" s="11" t="n">
        <v>46262</v>
      </c>
      <c r="B959" s="5" t="s">
        <v>1042</v>
      </c>
      <c r="C959" s="5" t="s">
        <v>99</v>
      </c>
      <c r="D959" s="5" t="s">
        <v>69</v>
      </c>
      <c r="E959" s="5" t="s">
        <v>70</v>
      </c>
      <c r="F959" s="5" t="s">
        <v>92</v>
      </c>
      <c r="G959" s="5" t="n">
        <v>1933</v>
      </c>
      <c r="H959" s="12" t="n">
        <v>2.3</v>
      </c>
      <c r="I959" s="12" t="n">
        <v>4445.9</v>
      </c>
      <c r="J959" s="12" t="n">
        <v>1836.35</v>
      </c>
      <c r="K959" s="12" t="n">
        <f aca="false">I959-J959</f>
        <v>2609.55</v>
      </c>
    </row>
    <row r="960" customFormat="false" ht="15" hidden="false" customHeight="false" outlineLevel="0" collapsed="false">
      <c r="A960" s="11" t="n">
        <v>46266</v>
      </c>
      <c r="B960" s="5" t="s">
        <v>1043</v>
      </c>
      <c r="C960" s="5" t="s">
        <v>87</v>
      </c>
      <c r="D960" s="5" t="s">
        <v>64</v>
      </c>
      <c r="E960" s="5" t="s">
        <v>58</v>
      </c>
      <c r="F960" s="5" t="s">
        <v>61</v>
      </c>
      <c r="G960" s="5" t="n">
        <v>404</v>
      </c>
      <c r="H960" s="12" t="n">
        <v>24.5</v>
      </c>
      <c r="I960" s="12" t="n">
        <v>9898</v>
      </c>
      <c r="J960" s="12" t="n">
        <v>4767.2</v>
      </c>
      <c r="K960" s="12" t="n">
        <f aca="false">I960-J960</f>
        <v>5130.8</v>
      </c>
    </row>
    <row r="961" customFormat="false" ht="15" hidden="false" customHeight="false" outlineLevel="0" collapsed="false">
      <c r="A961" s="11" t="n">
        <v>46266</v>
      </c>
      <c r="B961" s="5" t="s">
        <v>1044</v>
      </c>
      <c r="C961" s="5" t="s">
        <v>68</v>
      </c>
      <c r="D961" s="5" t="s">
        <v>69</v>
      </c>
      <c r="E961" s="5" t="s">
        <v>58</v>
      </c>
      <c r="F961" s="5" t="s">
        <v>96</v>
      </c>
      <c r="G961" s="5" t="n">
        <v>3195</v>
      </c>
      <c r="H961" s="12" t="n">
        <v>2.1</v>
      </c>
      <c r="I961" s="12" t="n">
        <v>6709.5</v>
      </c>
      <c r="J961" s="12" t="n">
        <v>2939.4</v>
      </c>
      <c r="K961" s="12" t="n">
        <f aca="false">I961-J961</f>
        <v>3770.1</v>
      </c>
    </row>
    <row r="962" customFormat="false" ht="15" hidden="false" customHeight="false" outlineLevel="0" collapsed="false">
      <c r="A962" s="11" t="n">
        <v>46266</v>
      </c>
      <c r="B962" s="5" t="s">
        <v>1045</v>
      </c>
      <c r="C962" s="5" t="s">
        <v>94</v>
      </c>
      <c r="D962" s="5" t="s">
        <v>95</v>
      </c>
      <c r="E962" s="5" t="s">
        <v>65</v>
      </c>
      <c r="F962" s="5" t="s">
        <v>103</v>
      </c>
      <c r="G962" s="5" t="n">
        <v>217</v>
      </c>
      <c r="H962" s="12" t="n">
        <v>15.2</v>
      </c>
      <c r="I962" s="12" t="n">
        <v>3298.4</v>
      </c>
      <c r="J962" s="12" t="n">
        <v>1475.6</v>
      </c>
      <c r="K962" s="12" t="n">
        <f aca="false">I962-J962</f>
        <v>1822.8</v>
      </c>
    </row>
    <row r="963" customFormat="false" ht="15" hidden="false" customHeight="false" outlineLevel="0" collapsed="false">
      <c r="A963" s="11" t="n">
        <v>46266</v>
      </c>
      <c r="B963" s="5" t="s">
        <v>1046</v>
      </c>
      <c r="C963" s="5" t="s">
        <v>115</v>
      </c>
      <c r="D963" s="5" t="s">
        <v>69</v>
      </c>
      <c r="E963" s="5" t="s">
        <v>65</v>
      </c>
      <c r="F963" s="5" t="s">
        <v>103</v>
      </c>
      <c r="G963" s="5" t="n">
        <v>214</v>
      </c>
      <c r="H963" s="12" t="n">
        <v>15.2</v>
      </c>
      <c r="I963" s="12" t="n">
        <v>3252.8</v>
      </c>
      <c r="J963" s="12" t="n">
        <v>1455.2</v>
      </c>
      <c r="K963" s="12" t="n">
        <f aca="false">I963-J963</f>
        <v>1797.6</v>
      </c>
    </row>
    <row r="964" customFormat="false" ht="15" hidden="false" customHeight="false" outlineLevel="0" collapsed="false">
      <c r="A964" s="11" t="n">
        <v>46266</v>
      </c>
      <c r="B964" s="5" t="s">
        <v>1047</v>
      </c>
      <c r="C964" s="5" t="s">
        <v>68</v>
      </c>
      <c r="D964" s="5" t="s">
        <v>69</v>
      </c>
      <c r="E964" s="5" t="s">
        <v>65</v>
      </c>
      <c r="F964" s="5" t="s">
        <v>103</v>
      </c>
      <c r="G964" s="5" t="n">
        <v>161</v>
      </c>
      <c r="H964" s="12" t="n">
        <v>15.2</v>
      </c>
      <c r="I964" s="12" t="n">
        <v>2447.2</v>
      </c>
      <c r="J964" s="12" t="n">
        <v>1094.8</v>
      </c>
      <c r="K964" s="12" t="n">
        <f aca="false">I964-J964</f>
        <v>1352.4</v>
      </c>
    </row>
    <row r="965" customFormat="false" ht="15" hidden="false" customHeight="false" outlineLevel="0" collapsed="false">
      <c r="A965" s="11" t="n">
        <v>46266</v>
      </c>
      <c r="B965" s="5" t="s">
        <v>1048</v>
      </c>
      <c r="C965" s="5" t="s">
        <v>63</v>
      </c>
      <c r="D965" s="5" t="s">
        <v>64</v>
      </c>
      <c r="E965" s="5" t="s">
        <v>70</v>
      </c>
      <c r="F965" s="5" t="s">
        <v>92</v>
      </c>
      <c r="G965" s="5" t="n">
        <v>2770</v>
      </c>
      <c r="H965" s="12" t="n">
        <v>2.4</v>
      </c>
      <c r="I965" s="12" t="n">
        <v>6648</v>
      </c>
      <c r="J965" s="12" t="n">
        <v>2631.5</v>
      </c>
      <c r="K965" s="12" t="n">
        <f aca="false">I965-J965</f>
        <v>4016.5</v>
      </c>
    </row>
    <row r="966" customFormat="false" ht="15" hidden="false" customHeight="false" outlineLevel="0" collapsed="false">
      <c r="A966" s="11" t="n">
        <v>46267</v>
      </c>
      <c r="B966" s="5" t="s">
        <v>1049</v>
      </c>
      <c r="C966" s="5" t="s">
        <v>63</v>
      </c>
      <c r="D966" s="5" t="s">
        <v>64</v>
      </c>
      <c r="E966" s="5" t="s">
        <v>75</v>
      </c>
      <c r="F966" s="5" t="s">
        <v>76</v>
      </c>
      <c r="G966" s="5" t="n">
        <v>453</v>
      </c>
      <c r="H966" s="12" t="n">
        <v>4.8</v>
      </c>
      <c r="I966" s="12" t="n">
        <v>2174.4</v>
      </c>
      <c r="J966" s="12" t="n">
        <v>928.65</v>
      </c>
      <c r="K966" s="12" t="n">
        <f aca="false">I966-J966</f>
        <v>1245.75</v>
      </c>
    </row>
    <row r="967" customFormat="false" ht="15" hidden="false" customHeight="false" outlineLevel="0" collapsed="false">
      <c r="A967" s="11" t="n">
        <v>46267</v>
      </c>
      <c r="B967" s="5" t="s">
        <v>1050</v>
      </c>
      <c r="C967" s="5" t="s">
        <v>68</v>
      </c>
      <c r="D967" s="5" t="s">
        <v>69</v>
      </c>
      <c r="E967" s="5" t="s">
        <v>75</v>
      </c>
      <c r="F967" s="5" t="s">
        <v>78</v>
      </c>
      <c r="G967" s="5" t="n">
        <v>136</v>
      </c>
      <c r="H967" s="12" t="n">
        <v>6.1</v>
      </c>
      <c r="I967" s="12" t="n">
        <v>829.6</v>
      </c>
      <c r="J967" s="12" t="n">
        <v>353.6</v>
      </c>
      <c r="K967" s="12" t="n">
        <f aca="false">I967-J967</f>
        <v>476</v>
      </c>
    </row>
    <row r="968" customFormat="false" ht="15" hidden="false" customHeight="false" outlineLevel="0" collapsed="false">
      <c r="A968" s="11" t="n">
        <v>46267</v>
      </c>
      <c r="B968" s="5" t="s">
        <v>1051</v>
      </c>
      <c r="C968" s="5" t="s">
        <v>85</v>
      </c>
      <c r="D968" s="5" t="s">
        <v>69</v>
      </c>
      <c r="E968" s="5" t="s">
        <v>65</v>
      </c>
      <c r="F968" s="5" t="s">
        <v>103</v>
      </c>
      <c r="G968" s="5" t="n">
        <v>137</v>
      </c>
      <c r="H968" s="12" t="n">
        <v>15.2</v>
      </c>
      <c r="I968" s="12" t="n">
        <v>2082.4</v>
      </c>
      <c r="J968" s="12" t="n">
        <v>931.6</v>
      </c>
      <c r="K968" s="12" t="n">
        <f aca="false">I968-J968</f>
        <v>1150.8</v>
      </c>
    </row>
    <row r="969" customFormat="false" ht="15" hidden="false" customHeight="false" outlineLevel="0" collapsed="false">
      <c r="A969" s="11" t="n">
        <v>46267</v>
      </c>
      <c r="B969" s="5" t="s">
        <v>1052</v>
      </c>
      <c r="C969" s="5" t="s">
        <v>68</v>
      </c>
      <c r="D969" s="5" t="s">
        <v>69</v>
      </c>
      <c r="E969" s="5" t="s">
        <v>70</v>
      </c>
      <c r="F969" s="5" t="s">
        <v>90</v>
      </c>
      <c r="G969" s="5" t="n">
        <v>675</v>
      </c>
      <c r="H969" s="12" t="n">
        <v>2.7</v>
      </c>
      <c r="I969" s="12" t="n">
        <v>1822.5</v>
      </c>
      <c r="J969" s="12" t="n">
        <v>810</v>
      </c>
      <c r="K969" s="12" t="n">
        <f aca="false">I969-J969</f>
        <v>1012.5</v>
      </c>
    </row>
    <row r="970" customFormat="false" ht="15" hidden="false" customHeight="false" outlineLevel="0" collapsed="false">
      <c r="A970" s="11" t="n">
        <v>46268</v>
      </c>
      <c r="B970" s="5" t="s">
        <v>1053</v>
      </c>
      <c r="C970" s="5" t="s">
        <v>73</v>
      </c>
      <c r="D970" s="5" t="s">
        <v>64</v>
      </c>
      <c r="E970" s="5" t="s">
        <v>58</v>
      </c>
      <c r="F970" s="5" t="s">
        <v>61</v>
      </c>
      <c r="G970" s="5" t="n">
        <v>512</v>
      </c>
      <c r="H970" s="12" t="n">
        <v>23.52</v>
      </c>
      <c r="I970" s="12" t="n">
        <v>12042.24</v>
      </c>
      <c r="J970" s="12" t="n">
        <v>6041.6</v>
      </c>
      <c r="K970" s="12" t="n">
        <f aca="false">I970-J970</f>
        <v>6000.64</v>
      </c>
    </row>
    <row r="971" customFormat="false" ht="15" hidden="false" customHeight="false" outlineLevel="0" collapsed="false">
      <c r="A971" s="11" t="n">
        <v>46268</v>
      </c>
      <c r="B971" s="5" t="s">
        <v>1054</v>
      </c>
      <c r="C971" s="5" t="s">
        <v>63</v>
      </c>
      <c r="D971" s="5" t="s">
        <v>64</v>
      </c>
      <c r="E971" s="5" t="s">
        <v>75</v>
      </c>
      <c r="F971" s="5" t="s">
        <v>78</v>
      </c>
      <c r="G971" s="5" t="n">
        <v>356</v>
      </c>
      <c r="H971" s="12" t="n">
        <v>6.1</v>
      </c>
      <c r="I971" s="12" t="n">
        <v>2171.6</v>
      </c>
      <c r="J971" s="12" t="n">
        <v>925.6</v>
      </c>
      <c r="K971" s="12" t="n">
        <f aca="false">I971-J971</f>
        <v>1246</v>
      </c>
    </row>
    <row r="972" customFormat="false" ht="15" hidden="false" customHeight="false" outlineLevel="0" collapsed="false">
      <c r="A972" s="11" t="n">
        <v>46268</v>
      </c>
      <c r="B972" s="5" t="s">
        <v>1055</v>
      </c>
      <c r="C972" s="5" t="s">
        <v>63</v>
      </c>
      <c r="D972" s="5" t="s">
        <v>64</v>
      </c>
      <c r="E972" s="5" t="s">
        <v>65</v>
      </c>
      <c r="F972" s="5" t="s">
        <v>88</v>
      </c>
      <c r="G972" s="5" t="n">
        <v>829</v>
      </c>
      <c r="H972" s="12" t="n">
        <v>11.5</v>
      </c>
      <c r="I972" s="12" t="n">
        <v>9533.5</v>
      </c>
      <c r="J972" s="12" t="n">
        <v>4227.9</v>
      </c>
      <c r="K972" s="12" t="n">
        <f aca="false">I972-J972</f>
        <v>5305.6</v>
      </c>
    </row>
    <row r="973" customFormat="false" ht="15" hidden="false" customHeight="false" outlineLevel="0" collapsed="false">
      <c r="A973" s="11" t="n">
        <v>46268</v>
      </c>
      <c r="B973" s="5" t="s">
        <v>1056</v>
      </c>
      <c r="C973" s="5" t="s">
        <v>85</v>
      </c>
      <c r="D973" s="5" t="s">
        <v>69</v>
      </c>
      <c r="E973" s="5" t="s">
        <v>70</v>
      </c>
      <c r="F973" s="5" t="s">
        <v>71</v>
      </c>
      <c r="G973" s="5" t="n">
        <v>598</v>
      </c>
      <c r="H973" s="12" t="n">
        <v>2.95</v>
      </c>
      <c r="I973" s="12" t="n">
        <v>1764.1</v>
      </c>
      <c r="J973" s="12" t="n">
        <v>777.4</v>
      </c>
      <c r="K973" s="12" t="n">
        <f aca="false">I973-J973</f>
        <v>986.7</v>
      </c>
    </row>
    <row r="974" customFormat="false" ht="15" hidden="false" customHeight="false" outlineLevel="0" collapsed="false">
      <c r="A974" s="11" t="n">
        <v>46269</v>
      </c>
      <c r="B974" s="5" t="s">
        <v>1057</v>
      </c>
      <c r="C974" s="5" t="s">
        <v>94</v>
      </c>
      <c r="D974" s="5" t="s">
        <v>95</v>
      </c>
      <c r="E974" s="5" t="s">
        <v>58</v>
      </c>
      <c r="F974" s="5" t="s">
        <v>61</v>
      </c>
      <c r="G974" s="5" t="n">
        <v>629</v>
      </c>
      <c r="H974" s="12" t="n">
        <v>24.5</v>
      </c>
      <c r="I974" s="12" t="n">
        <v>15410.5</v>
      </c>
      <c r="J974" s="12" t="n">
        <v>7422.2</v>
      </c>
      <c r="K974" s="12" t="n">
        <f aca="false">I974-J974</f>
        <v>7988.3</v>
      </c>
    </row>
    <row r="975" customFormat="false" ht="15" hidden="false" customHeight="false" outlineLevel="0" collapsed="false">
      <c r="A975" s="11" t="n">
        <v>46269</v>
      </c>
      <c r="B975" s="5" t="s">
        <v>1058</v>
      </c>
      <c r="C975" s="5" t="s">
        <v>87</v>
      </c>
      <c r="D975" s="5" t="s">
        <v>64</v>
      </c>
      <c r="E975" s="5" t="s">
        <v>58</v>
      </c>
      <c r="F975" s="5" t="s">
        <v>117</v>
      </c>
      <c r="G975" s="5" t="n">
        <v>2917</v>
      </c>
      <c r="H975" s="12" t="n">
        <v>3.4</v>
      </c>
      <c r="I975" s="12" t="n">
        <v>9917.8</v>
      </c>
      <c r="J975" s="12" t="n">
        <v>4229.65</v>
      </c>
      <c r="K975" s="12" t="n">
        <f aca="false">I975-J975</f>
        <v>5688.15</v>
      </c>
    </row>
    <row r="976" customFormat="false" ht="15" hidden="false" customHeight="false" outlineLevel="0" collapsed="false">
      <c r="A976" s="11" t="n">
        <v>46269</v>
      </c>
      <c r="B976" s="5" t="s">
        <v>1059</v>
      </c>
      <c r="C976" s="5" t="s">
        <v>115</v>
      </c>
      <c r="D976" s="5" t="s">
        <v>69</v>
      </c>
      <c r="E976" s="5" t="s">
        <v>75</v>
      </c>
      <c r="F976" s="5" t="s">
        <v>78</v>
      </c>
      <c r="G976" s="5" t="n">
        <v>396</v>
      </c>
      <c r="H976" s="12" t="n">
        <v>6.1</v>
      </c>
      <c r="I976" s="12" t="n">
        <v>2415.6</v>
      </c>
      <c r="J976" s="12" t="n">
        <v>1029.6</v>
      </c>
      <c r="K976" s="12" t="n">
        <f aca="false">I976-J976</f>
        <v>1386</v>
      </c>
    </row>
    <row r="977" customFormat="false" ht="15" hidden="false" customHeight="false" outlineLevel="0" collapsed="false">
      <c r="A977" s="11" t="n">
        <v>46269</v>
      </c>
      <c r="B977" s="5" t="s">
        <v>1060</v>
      </c>
      <c r="C977" s="5" t="s">
        <v>87</v>
      </c>
      <c r="D977" s="5" t="s">
        <v>64</v>
      </c>
      <c r="E977" s="5" t="s">
        <v>70</v>
      </c>
      <c r="F977" s="5" t="s">
        <v>71</v>
      </c>
      <c r="G977" s="5" t="n">
        <v>938</v>
      </c>
      <c r="H977" s="12" t="n">
        <v>2.95</v>
      </c>
      <c r="I977" s="12" t="n">
        <v>2767.1</v>
      </c>
      <c r="J977" s="12" t="n">
        <v>1219.4</v>
      </c>
      <c r="K977" s="12" t="n">
        <f aca="false">I977-J977</f>
        <v>1547.7</v>
      </c>
    </row>
    <row r="978" customFormat="false" ht="15" hidden="false" customHeight="false" outlineLevel="0" collapsed="false">
      <c r="A978" s="11" t="n">
        <v>46270</v>
      </c>
      <c r="B978" s="5" t="s">
        <v>1061</v>
      </c>
      <c r="C978" s="5" t="s">
        <v>99</v>
      </c>
      <c r="D978" s="5" t="s">
        <v>69</v>
      </c>
      <c r="E978" s="5" t="s">
        <v>75</v>
      </c>
      <c r="F978" s="5" t="s">
        <v>76</v>
      </c>
      <c r="G978" s="5" t="n">
        <v>621</v>
      </c>
      <c r="H978" s="12" t="n">
        <v>4.61</v>
      </c>
      <c r="I978" s="12" t="n">
        <v>2862.81</v>
      </c>
      <c r="J978" s="12" t="n">
        <v>1273.05</v>
      </c>
      <c r="K978" s="12" t="n">
        <f aca="false">I978-J978</f>
        <v>1589.76</v>
      </c>
    </row>
    <row r="979" customFormat="false" ht="15" hidden="false" customHeight="false" outlineLevel="0" collapsed="false">
      <c r="A979" s="11" t="n">
        <v>46270</v>
      </c>
      <c r="B979" s="5" t="s">
        <v>1062</v>
      </c>
      <c r="C979" s="5" t="s">
        <v>63</v>
      </c>
      <c r="D979" s="5" t="s">
        <v>64</v>
      </c>
      <c r="E979" s="5" t="s">
        <v>75</v>
      </c>
      <c r="F979" s="5" t="s">
        <v>83</v>
      </c>
      <c r="G979" s="5" t="n">
        <v>518</v>
      </c>
      <c r="H979" s="12" t="n">
        <v>4.2</v>
      </c>
      <c r="I979" s="12" t="n">
        <v>2175.6</v>
      </c>
      <c r="J979" s="12" t="n">
        <v>958.3</v>
      </c>
      <c r="K979" s="12" t="n">
        <f aca="false">I979-J979</f>
        <v>1217.3</v>
      </c>
    </row>
    <row r="980" customFormat="false" ht="15" hidden="false" customHeight="false" outlineLevel="0" collapsed="false">
      <c r="A980" s="11" t="n">
        <v>46270</v>
      </c>
      <c r="B980" s="5" t="s">
        <v>1063</v>
      </c>
      <c r="C980" s="5" t="s">
        <v>99</v>
      </c>
      <c r="D980" s="5" t="s">
        <v>69</v>
      </c>
      <c r="E980" s="5" t="s">
        <v>65</v>
      </c>
      <c r="F980" s="5" t="s">
        <v>88</v>
      </c>
      <c r="G980" s="5" t="n">
        <v>613</v>
      </c>
      <c r="H980" s="12" t="n">
        <v>11.04</v>
      </c>
      <c r="I980" s="12" t="n">
        <v>6767.52</v>
      </c>
      <c r="J980" s="12" t="n">
        <v>3126.3</v>
      </c>
      <c r="K980" s="12" t="n">
        <f aca="false">I980-J980</f>
        <v>3641.22</v>
      </c>
    </row>
    <row r="981" customFormat="false" ht="15" hidden="false" customHeight="false" outlineLevel="0" collapsed="false">
      <c r="A981" s="11" t="n">
        <v>46270</v>
      </c>
      <c r="B981" s="5" t="s">
        <v>1064</v>
      </c>
      <c r="C981" s="5" t="s">
        <v>85</v>
      </c>
      <c r="D981" s="5" t="s">
        <v>69</v>
      </c>
      <c r="E981" s="5" t="s">
        <v>65</v>
      </c>
      <c r="F981" s="5" t="s">
        <v>103</v>
      </c>
      <c r="G981" s="5" t="n">
        <v>137</v>
      </c>
      <c r="H981" s="12" t="n">
        <v>15.2</v>
      </c>
      <c r="I981" s="12" t="n">
        <v>2082.4</v>
      </c>
      <c r="J981" s="12" t="n">
        <v>931.6</v>
      </c>
      <c r="K981" s="12" t="n">
        <f aca="false">I981-J981</f>
        <v>1150.8</v>
      </c>
    </row>
    <row r="982" customFormat="false" ht="15" hidden="false" customHeight="false" outlineLevel="0" collapsed="false">
      <c r="A982" s="11" t="n">
        <v>46270</v>
      </c>
      <c r="B982" s="5" t="s">
        <v>1065</v>
      </c>
      <c r="C982" s="5" t="s">
        <v>81</v>
      </c>
      <c r="D982" s="5" t="s">
        <v>64</v>
      </c>
      <c r="E982" s="5" t="s">
        <v>70</v>
      </c>
      <c r="F982" s="5" t="s">
        <v>71</v>
      </c>
      <c r="G982" s="5" t="n">
        <v>1992</v>
      </c>
      <c r="H982" s="12" t="n">
        <v>2.95</v>
      </c>
      <c r="I982" s="12" t="n">
        <v>5876.4</v>
      </c>
      <c r="J982" s="12" t="n">
        <v>2589.6</v>
      </c>
      <c r="K982" s="12" t="n">
        <f aca="false">I982-J982</f>
        <v>3286.8</v>
      </c>
    </row>
    <row r="983" customFormat="false" ht="15" hidden="false" customHeight="false" outlineLevel="0" collapsed="false">
      <c r="A983" s="11" t="n">
        <v>46271</v>
      </c>
      <c r="B983" s="5" t="s">
        <v>1066</v>
      </c>
      <c r="C983" s="5" t="s">
        <v>99</v>
      </c>
      <c r="D983" s="5" t="s">
        <v>69</v>
      </c>
      <c r="E983" s="5" t="s">
        <v>75</v>
      </c>
      <c r="F983" s="5" t="s">
        <v>83</v>
      </c>
      <c r="G983" s="5" t="n">
        <v>711</v>
      </c>
      <c r="H983" s="12" t="n">
        <v>4.03</v>
      </c>
      <c r="I983" s="12" t="n">
        <v>2865.33</v>
      </c>
      <c r="J983" s="12" t="n">
        <v>1315.35</v>
      </c>
      <c r="K983" s="12" t="n">
        <f aca="false">I983-J983</f>
        <v>1549.98</v>
      </c>
    </row>
    <row r="984" customFormat="false" ht="15" hidden="false" customHeight="false" outlineLevel="0" collapsed="false">
      <c r="A984" s="11" t="n">
        <v>46271</v>
      </c>
      <c r="B984" s="5" t="s">
        <v>1067</v>
      </c>
      <c r="C984" s="5" t="s">
        <v>81</v>
      </c>
      <c r="D984" s="5" t="s">
        <v>64</v>
      </c>
      <c r="E984" s="5" t="s">
        <v>75</v>
      </c>
      <c r="F984" s="5" t="s">
        <v>76</v>
      </c>
      <c r="G984" s="5" t="n">
        <v>488</v>
      </c>
      <c r="H984" s="12" t="n">
        <v>4.8</v>
      </c>
      <c r="I984" s="12" t="n">
        <v>2342.4</v>
      </c>
      <c r="J984" s="12" t="n">
        <v>1000.4</v>
      </c>
      <c r="K984" s="12" t="n">
        <f aca="false">I984-J984</f>
        <v>1342</v>
      </c>
    </row>
    <row r="985" customFormat="false" ht="15" hidden="false" customHeight="false" outlineLevel="0" collapsed="false">
      <c r="A985" s="11" t="n">
        <v>46271</v>
      </c>
      <c r="B985" s="5" t="s">
        <v>1068</v>
      </c>
      <c r="C985" s="5" t="s">
        <v>81</v>
      </c>
      <c r="D985" s="5" t="s">
        <v>64</v>
      </c>
      <c r="E985" s="5" t="s">
        <v>65</v>
      </c>
      <c r="F985" s="5" t="s">
        <v>103</v>
      </c>
      <c r="G985" s="5" t="n">
        <v>415</v>
      </c>
      <c r="H985" s="12" t="n">
        <v>15.2</v>
      </c>
      <c r="I985" s="12" t="n">
        <v>6308</v>
      </c>
      <c r="J985" s="12" t="n">
        <v>2822</v>
      </c>
      <c r="K985" s="12" t="n">
        <f aca="false">I985-J985</f>
        <v>3486</v>
      </c>
    </row>
    <row r="986" customFormat="false" ht="15" hidden="false" customHeight="false" outlineLevel="0" collapsed="false">
      <c r="A986" s="11" t="n">
        <v>46271</v>
      </c>
      <c r="B986" s="5" t="s">
        <v>1069</v>
      </c>
      <c r="C986" s="5" t="s">
        <v>68</v>
      </c>
      <c r="D986" s="5" t="s">
        <v>69</v>
      </c>
      <c r="E986" s="5" t="s">
        <v>70</v>
      </c>
      <c r="F986" s="5" t="s">
        <v>90</v>
      </c>
      <c r="G986" s="5" t="n">
        <v>675</v>
      </c>
      <c r="H986" s="12" t="n">
        <v>2.7</v>
      </c>
      <c r="I986" s="12" t="n">
        <v>1822.5</v>
      </c>
      <c r="J986" s="12" t="n">
        <v>810</v>
      </c>
      <c r="K986" s="12" t="n">
        <f aca="false">I986-J986</f>
        <v>1012.5</v>
      </c>
    </row>
    <row r="987" customFormat="false" ht="15" hidden="false" customHeight="false" outlineLevel="0" collapsed="false">
      <c r="A987" s="11" t="n">
        <v>46272</v>
      </c>
      <c r="B987" s="5" t="s">
        <v>1070</v>
      </c>
      <c r="C987" s="5" t="s">
        <v>63</v>
      </c>
      <c r="D987" s="5" t="s">
        <v>64</v>
      </c>
      <c r="E987" s="5" t="s">
        <v>58</v>
      </c>
      <c r="F987" s="5" t="s">
        <v>61</v>
      </c>
      <c r="G987" s="5" t="n">
        <v>974</v>
      </c>
      <c r="H987" s="12" t="n">
        <v>24.5</v>
      </c>
      <c r="I987" s="12" t="n">
        <v>23863</v>
      </c>
      <c r="J987" s="12" t="n">
        <v>11493.2</v>
      </c>
      <c r="K987" s="12" t="n">
        <f aca="false">I987-J987</f>
        <v>12369.8</v>
      </c>
    </row>
    <row r="988" customFormat="false" ht="15" hidden="false" customHeight="false" outlineLevel="0" collapsed="false">
      <c r="A988" s="11" t="n">
        <v>46272</v>
      </c>
      <c r="B988" s="5" t="s">
        <v>1071</v>
      </c>
      <c r="C988" s="5" t="s">
        <v>81</v>
      </c>
      <c r="D988" s="5" t="s">
        <v>64</v>
      </c>
      <c r="E988" s="5" t="s">
        <v>75</v>
      </c>
      <c r="F988" s="5" t="s">
        <v>78</v>
      </c>
      <c r="G988" s="5" t="n">
        <v>384</v>
      </c>
      <c r="H988" s="12" t="n">
        <v>6.1</v>
      </c>
      <c r="I988" s="12" t="n">
        <v>2342.4</v>
      </c>
      <c r="J988" s="12" t="n">
        <v>998.4</v>
      </c>
      <c r="K988" s="12" t="n">
        <f aca="false">I988-J988</f>
        <v>1344</v>
      </c>
    </row>
    <row r="989" customFormat="false" ht="15" hidden="false" customHeight="false" outlineLevel="0" collapsed="false">
      <c r="A989" s="11" t="n">
        <v>46272</v>
      </c>
      <c r="B989" s="5" t="s">
        <v>1072</v>
      </c>
      <c r="C989" s="5" t="s">
        <v>73</v>
      </c>
      <c r="D989" s="5" t="s">
        <v>64</v>
      </c>
      <c r="E989" s="5" t="s">
        <v>75</v>
      </c>
      <c r="F989" s="5" t="s">
        <v>76</v>
      </c>
      <c r="G989" s="5" t="n">
        <v>316</v>
      </c>
      <c r="H989" s="12" t="n">
        <v>4.61</v>
      </c>
      <c r="I989" s="12" t="n">
        <v>1456.76</v>
      </c>
      <c r="J989" s="12" t="n">
        <v>647.8</v>
      </c>
      <c r="K989" s="12" t="n">
        <f aca="false">I989-J989</f>
        <v>808.96</v>
      </c>
    </row>
    <row r="990" customFormat="false" ht="15" hidden="false" customHeight="false" outlineLevel="0" collapsed="false">
      <c r="A990" s="11" t="n">
        <v>46272</v>
      </c>
      <c r="B990" s="5" t="s">
        <v>1073</v>
      </c>
      <c r="C990" s="5" t="s">
        <v>73</v>
      </c>
      <c r="D990" s="5" t="s">
        <v>64</v>
      </c>
      <c r="E990" s="5" t="s">
        <v>75</v>
      </c>
      <c r="F990" s="5" t="s">
        <v>76</v>
      </c>
      <c r="G990" s="5" t="n">
        <v>316</v>
      </c>
      <c r="H990" s="12" t="n">
        <v>4.61</v>
      </c>
      <c r="I990" s="12" t="n">
        <v>1456.76</v>
      </c>
      <c r="J990" s="12" t="n">
        <v>647.8</v>
      </c>
      <c r="K990" s="12" t="n">
        <f aca="false">I990-J990</f>
        <v>808.96</v>
      </c>
    </row>
    <row r="991" customFormat="false" ht="15" hidden="false" customHeight="false" outlineLevel="0" collapsed="false">
      <c r="A991" s="11" t="n">
        <v>46273</v>
      </c>
      <c r="B991" s="5" t="s">
        <v>1074</v>
      </c>
      <c r="C991" s="5" t="s">
        <v>85</v>
      </c>
      <c r="D991" s="5" t="s">
        <v>69</v>
      </c>
      <c r="E991" s="5" t="s">
        <v>58</v>
      </c>
      <c r="F991" s="5" t="s">
        <v>61</v>
      </c>
      <c r="G991" s="5" t="n">
        <v>176</v>
      </c>
      <c r="H991" s="12" t="n">
        <v>24.5</v>
      </c>
      <c r="I991" s="12" t="n">
        <v>4312</v>
      </c>
      <c r="J991" s="12" t="n">
        <v>2076.8</v>
      </c>
      <c r="K991" s="12" t="n">
        <f aca="false">I991-J991</f>
        <v>2235.2</v>
      </c>
    </row>
    <row r="992" customFormat="false" ht="15" hidden="false" customHeight="false" outlineLevel="0" collapsed="false">
      <c r="A992" s="11" t="n">
        <v>46273</v>
      </c>
      <c r="B992" s="5" t="s">
        <v>1075</v>
      </c>
      <c r="C992" s="5" t="s">
        <v>94</v>
      </c>
      <c r="D992" s="5" t="s">
        <v>95</v>
      </c>
      <c r="E992" s="5" t="s">
        <v>75</v>
      </c>
      <c r="F992" s="5" t="s">
        <v>76</v>
      </c>
      <c r="G992" s="5" t="n">
        <v>646</v>
      </c>
      <c r="H992" s="12" t="n">
        <v>4.8</v>
      </c>
      <c r="I992" s="12" t="n">
        <v>3100.8</v>
      </c>
      <c r="J992" s="12" t="n">
        <v>1324.3</v>
      </c>
      <c r="K992" s="12" t="n">
        <f aca="false">I992-J992</f>
        <v>1776.5</v>
      </c>
    </row>
    <row r="993" customFormat="false" ht="15" hidden="false" customHeight="false" outlineLevel="0" collapsed="false">
      <c r="A993" s="11" t="n">
        <v>46273</v>
      </c>
      <c r="B993" s="5" t="s">
        <v>1076</v>
      </c>
      <c r="C993" s="5" t="s">
        <v>68</v>
      </c>
      <c r="D993" s="5" t="s">
        <v>69</v>
      </c>
      <c r="E993" s="5" t="s">
        <v>75</v>
      </c>
      <c r="F993" s="5" t="s">
        <v>78</v>
      </c>
      <c r="G993" s="5" t="n">
        <v>136</v>
      </c>
      <c r="H993" s="12" t="n">
        <v>6.1</v>
      </c>
      <c r="I993" s="12" t="n">
        <v>829.6</v>
      </c>
      <c r="J993" s="12" t="n">
        <v>353.6</v>
      </c>
      <c r="K993" s="12" t="n">
        <f aca="false">I993-J993</f>
        <v>476</v>
      </c>
    </row>
    <row r="994" customFormat="false" ht="15" hidden="false" customHeight="false" outlineLevel="0" collapsed="false">
      <c r="A994" s="11" t="n">
        <v>46273</v>
      </c>
      <c r="B994" s="5" t="s">
        <v>1077</v>
      </c>
      <c r="C994" s="5" t="s">
        <v>85</v>
      </c>
      <c r="D994" s="5" t="s">
        <v>69</v>
      </c>
      <c r="E994" s="5" t="s">
        <v>75</v>
      </c>
      <c r="F994" s="5" t="s">
        <v>78</v>
      </c>
      <c r="G994" s="5" t="n">
        <v>185</v>
      </c>
      <c r="H994" s="12" t="n">
        <v>6.1</v>
      </c>
      <c r="I994" s="12" t="n">
        <v>1128.5</v>
      </c>
      <c r="J994" s="12" t="n">
        <v>481</v>
      </c>
      <c r="K994" s="12" t="n">
        <f aca="false">I994-J994</f>
        <v>647.5</v>
      </c>
    </row>
    <row r="995" customFormat="false" ht="15" hidden="false" customHeight="false" outlineLevel="0" collapsed="false">
      <c r="A995" s="11" t="n">
        <v>46273</v>
      </c>
      <c r="B995" s="5" t="s">
        <v>1078</v>
      </c>
      <c r="C995" s="5" t="s">
        <v>81</v>
      </c>
      <c r="D995" s="5" t="s">
        <v>64</v>
      </c>
      <c r="E995" s="5" t="s">
        <v>65</v>
      </c>
      <c r="F995" s="5" t="s">
        <v>103</v>
      </c>
      <c r="G995" s="5" t="n">
        <v>415</v>
      </c>
      <c r="H995" s="12" t="n">
        <v>15.2</v>
      </c>
      <c r="I995" s="12" t="n">
        <v>6308</v>
      </c>
      <c r="J995" s="12" t="n">
        <v>2822</v>
      </c>
      <c r="K995" s="12" t="n">
        <f aca="false">I995-J995</f>
        <v>3486</v>
      </c>
    </row>
    <row r="996" customFormat="false" ht="15" hidden="false" customHeight="false" outlineLevel="0" collapsed="false">
      <c r="A996" s="11" t="n">
        <v>46273</v>
      </c>
      <c r="B996" s="5" t="s">
        <v>1079</v>
      </c>
      <c r="C996" s="5" t="s">
        <v>81</v>
      </c>
      <c r="D996" s="5" t="s">
        <v>64</v>
      </c>
      <c r="E996" s="5" t="s">
        <v>65</v>
      </c>
      <c r="F996" s="5" t="s">
        <v>103</v>
      </c>
      <c r="G996" s="5" t="n">
        <v>415</v>
      </c>
      <c r="H996" s="12" t="n">
        <v>15.2</v>
      </c>
      <c r="I996" s="12" t="n">
        <v>6308</v>
      </c>
      <c r="J996" s="12" t="n">
        <v>2822</v>
      </c>
      <c r="K996" s="12" t="n">
        <f aca="false">I996-J996</f>
        <v>3486</v>
      </c>
    </row>
    <row r="997" customFormat="false" ht="15" hidden="false" customHeight="false" outlineLevel="0" collapsed="false">
      <c r="A997" s="11" t="n">
        <v>46273</v>
      </c>
      <c r="B997" s="5" t="s">
        <v>1080</v>
      </c>
      <c r="C997" s="5" t="s">
        <v>94</v>
      </c>
      <c r="D997" s="5" t="s">
        <v>95</v>
      </c>
      <c r="E997" s="5" t="s">
        <v>65</v>
      </c>
      <c r="F997" s="5" t="s">
        <v>88</v>
      </c>
      <c r="G997" s="5" t="n">
        <v>287</v>
      </c>
      <c r="H997" s="12" t="n">
        <v>11.5</v>
      </c>
      <c r="I997" s="12" t="n">
        <v>3300.5</v>
      </c>
      <c r="J997" s="12" t="n">
        <v>1463.7</v>
      </c>
      <c r="K997" s="12" t="n">
        <f aca="false">I997-J997</f>
        <v>1836.8</v>
      </c>
    </row>
    <row r="998" customFormat="false" ht="15" hidden="false" customHeight="false" outlineLevel="0" collapsed="false">
      <c r="A998" s="11" t="n">
        <v>46273</v>
      </c>
      <c r="B998" s="5" t="s">
        <v>1081</v>
      </c>
      <c r="C998" s="5" t="s">
        <v>87</v>
      </c>
      <c r="D998" s="5" t="s">
        <v>64</v>
      </c>
      <c r="E998" s="5" t="s">
        <v>65</v>
      </c>
      <c r="F998" s="5" t="s">
        <v>66</v>
      </c>
      <c r="G998" s="5" t="n">
        <v>124</v>
      </c>
      <c r="H998" s="12" t="n">
        <v>24.9</v>
      </c>
      <c r="I998" s="12" t="n">
        <v>3087.6</v>
      </c>
      <c r="J998" s="12" t="n">
        <v>1413.6</v>
      </c>
      <c r="K998" s="12" t="n">
        <f aca="false">I998-J998</f>
        <v>1674</v>
      </c>
    </row>
    <row r="999" customFormat="false" ht="15" hidden="false" customHeight="false" outlineLevel="0" collapsed="false">
      <c r="A999" s="11" t="n">
        <v>46273</v>
      </c>
      <c r="B999" s="5" t="s">
        <v>1082</v>
      </c>
      <c r="C999" s="5" t="s">
        <v>73</v>
      </c>
      <c r="D999" s="5" t="s">
        <v>64</v>
      </c>
      <c r="E999" s="5" t="s">
        <v>70</v>
      </c>
      <c r="F999" s="5" t="s">
        <v>90</v>
      </c>
      <c r="G999" s="5" t="n">
        <v>1029</v>
      </c>
      <c r="H999" s="12" t="n">
        <v>2.59</v>
      </c>
      <c r="I999" s="12" t="n">
        <v>2665.11</v>
      </c>
      <c r="J999" s="12" t="n">
        <v>1234.8</v>
      </c>
      <c r="K999" s="12" t="n">
        <f aca="false">I999-J999</f>
        <v>1430.31</v>
      </c>
    </row>
    <row r="1000" customFormat="false" ht="15" hidden="false" customHeight="false" outlineLevel="0" collapsed="false">
      <c r="A1000" s="11" t="n">
        <v>46274</v>
      </c>
      <c r="B1000" s="5" t="s">
        <v>1083</v>
      </c>
      <c r="C1000" s="5" t="s">
        <v>99</v>
      </c>
      <c r="D1000" s="5" t="s">
        <v>69</v>
      </c>
      <c r="E1000" s="5" t="s">
        <v>58</v>
      </c>
      <c r="F1000" s="5" t="s">
        <v>96</v>
      </c>
      <c r="G1000" s="5" t="n">
        <v>7504</v>
      </c>
      <c r="H1000" s="12" t="n">
        <v>2.02</v>
      </c>
      <c r="I1000" s="12" t="n">
        <v>15158.08</v>
      </c>
      <c r="J1000" s="12" t="n">
        <v>6903.68</v>
      </c>
      <c r="K1000" s="12" t="n">
        <f aca="false">I1000-J1000</f>
        <v>8254.4</v>
      </c>
    </row>
    <row r="1001" customFormat="false" ht="15" hidden="false" customHeight="false" outlineLevel="0" collapsed="false">
      <c r="A1001" s="11" t="n">
        <v>46274</v>
      </c>
      <c r="B1001" s="5" t="s">
        <v>1084</v>
      </c>
      <c r="C1001" s="5" t="s">
        <v>81</v>
      </c>
      <c r="D1001" s="5" t="s">
        <v>64</v>
      </c>
      <c r="E1001" s="5" t="s">
        <v>58</v>
      </c>
      <c r="F1001" s="5" t="s">
        <v>117</v>
      </c>
      <c r="G1001" s="5" t="n">
        <v>7381</v>
      </c>
      <c r="H1001" s="12" t="n">
        <v>3.4</v>
      </c>
      <c r="I1001" s="12" t="n">
        <v>25095.4</v>
      </c>
      <c r="J1001" s="12" t="n">
        <v>10702.45</v>
      </c>
      <c r="K1001" s="12" t="n">
        <f aca="false">I1001-J1001</f>
        <v>14392.95</v>
      </c>
    </row>
    <row r="1002" customFormat="false" ht="15" hidden="false" customHeight="false" outlineLevel="0" collapsed="false">
      <c r="A1002" s="11" t="n">
        <v>46274</v>
      </c>
      <c r="B1002" s="5" t="s">
        <v>1085</v>
      </c>
      <c r="C1002" s="5" t="s">
        <v>94</v>
      </c>
      <c r="D1002" s="5" t="s">
        <v>95</v>
      </c>
      <c r="E1002" s="5" t="s">
        <v>58</v>
      </c>
      <c r="F1002" s="5" t="s">
        <v>96</v>
      </c>
      <c r="G1002" s="5" t="n">
        <v>7349</v>
      </c>
      <c r="H1002" s="12" t="n">
        <v>2.1</v>
      </c>
      <c r="I1002" s="12" t="n">
        <v>15432.9</v>
      </c>
      <c r="J1002" s="12" t="n">
        <v>6761.08</v>
      </c>
      <c r="K1002" s="12" t="n">
        <f aca="false">I1002-J1002</f>
        <v>8671.82</v>
      </c>
    </row>
    <row r="1003" customFormat="false" ht="15" hidden="false" customHeight="false" outlineLevel="0" collapsed="false">
      <c r="A1003" s="11" t="n">
        <v>46274</v>
      </c>
      <c r="B1003" s="5" t="s">
        <v>1086</v>
      </c>
      <c r="C1003" s="5" t="s">
        <v>87</v>
      </c>
      <c r="D1003" s="5" t="s">
        <v>64</v>
      </c>
      <c r="E1003" s="5" t="s">
        <v>58</v>
      </c>
      <c r="F1003" s="5" t="s">
        <v>117</v>
      </c>
      <c r="G1003" s="5" t="n">
        <v>2917</v>
      </c>
      <c r="H1003" s="12" t="n">
        <v>3.4</v>
      </c>
      <c r="I1003" s="12" t="n">
        <v>9917.8</v>
      </c>
      <c r="J1003" s="12" t="n">
        <v>4229.65</v>
      </c>
      <c r="K1003" s="12" t="n">
        <f aca="false">I1003-J1003</f>
        <v>5688.15</v>
      </c>
    </row>
    <row r="1004" customFormat="false" ht="15" hidden="false" customHeight="false" outlineLevel="0" collapsed="false">
      <c r="A1004" s="11" t="n">
        <v>46274</v>
      </c>
      <c r="B1004" s="5" t="s">
        <v>1087</v>
      </c>
      <c r="C1004" s="5" t="s">
        <v>115</v>
      </c>
      <c r="D1004" s="5" t="s">
        <v>69</v>
      </c>
      <c r="E1004" s="5" t="s">
        <v>58</v>
      </c>
      <c r="F1004" s="5" t="s">
        <v>117</v>
      </c>
      <c r="G1004" s="5" t="n">
        <v>1746</v>
      </c>
      <c r="H1004" s="12" t="n">
        <v>3.4</v>
      </c>
      <c r="I1004" s="12" t="n">
        <v>5936.4</v>
      </c>
      <c r="J1004" s="12" t="n">
        <v>2531.7</v>
      </c>
      <c r="K1004" s="12" t="n">
        <f aca="false">I1004-J1004</f>
        <v>3404.7</v>
      </c>
    </row>
    <row r="1005" customFormat="false" ht="15" hidden="false" customHeight="false" outlineLevel="0" collapsed="false">
      <c r="A1005" s="11" t="n">
        <v>46274</v>
      </c>
      <c r="B1005" s="5" t="s">
        <v>1088</v>
      </c>
      <c r="C1005" s="5" t="s">
        <v>56</v>
      </c>
      <c r="D1005" s="5" t="s">
        <v>57</v>
      </c>
      <c r="E1005" s="5" t="s">
        <v>75</v>
      </c>
      <c r="F1005" s="5" t="s">
        <v>83</v>
      </c>
      <c r="G1005" s="5" t="n">
        <v>512</v>
      </c>
      <c r="H1005" s="12" t="n">
        <v>4.2</v>
      </c>
      <c r="I1005" s="12" t="n">
        <v>2150.4</v>
      </c>
      <c r="J1005" s="12" t="n">
        <v>947.2</v>
      </c>
      <c r="K1005" s="12" t="n">
        <f aca="false">I1005-J1005</f>
        <v>1203.2</v>
      </c>
    </row>
    <row r="1006" customFormat="false" ht="15" hidden="false" customHeight="false" outlineLevel="0" collapsed="false">
      <c r="A1006" s="11" t="n">
        <v>46274</v>
      </c>
      <c r="B1006" s="5" t="s">
        <v>1089</v>
      </c>
      <c r="C1006" s="5" t="s">
        <v>56</v>
      </c>
      <c r="D1006" s="5" t="s">
        <v>57</v>
      </c>
      <c r="E1006" s="5" t="s">
        <v>65</v>
      </c>
      <c r="F1006" s="5" t="s">
        <v>88</v>
      </c>
      <c r="G1006" s="5" t="n">
        <v>346</v>
      </c>
      <c r="H1006" s="12" t="n">
        <v>11.5</v>
      </c>
      <c r="I1006" s="12" t="n">
        <v>3979</v>
      </c>
      <c r="J1006" s="12" t="n">
        <v>1764.6</v>
      </c>
      <c r="K1006" s="12" t="n">
        <f aca="false">I1006-J1006</f>
        <v>2214.4</v>
      </c>
    </row>
    <row r="1007" customFormat="false" ht="15" hidden="false" customHeight="false" outlineLevel="0" collapsed="false">
      <c r="A1007" s="11" t="n">
        <v>46274</v>
      </c>
      <c r="B1007" s="5" t="s">
        <v>1090</v>
      </c>
      <c r="C1007" s="5" t="s">
        <v>94</v>
      </c>
      <c r="D1007" s="5" t="s">
        <v>95</v>
      </c>
      <c r="E1007" s="5" t="s">
        <v>70</v>
      </c>
      <c r="F1007" s="5" t="s">
        <v>90</v>
      </c>
      <c r="G1007" s="5" t="n">
        <v>956</v>
      </c>
      <c r="H1007" s="12" t="n">
        <v>2.7</v>
      </c>
      <c r="I1007" s="12" t="n">
        <v>2581.2</v>
      </c>
      <c r="J1007" s="12" t="n">
        <v>1147.2</v>
      </c>
      <c r="K1007" s="12" t="n">
        <f aca="false">I1007-J1007</f>
        <v>1434</v>
      </c>
    </row>
    <row r="1008" customFormat="false" ht="15" hidden="false" customHeight="false" outlineLevel="0" collapsed="false">
      <c r="A1008" s="11" t="n">
        <v>46276</v>
      </c>
      <c r="B1008" s="5" t="s">
        <v>1091</v>
      </c>
      <c r="C1008" s="5" t="s">
        <v>87</v>
      </c>
      <c r="D1008" s="5" t="s">
        <v>64</v>
      </c>
      <c r="E1008" s="5" t="s">
        <v>65</v>
      </c>
      <c r="F1008" s="5" t="s">
        <v>103</v>
      </c>
      <c r="G1008" s="5" t="n">
        <v>203</v>
      </c>
      <c r="H1008" s="12" t="n">
        <v>15.2</v>
      </c>
      <c r="I1008" s="12" t="n">
        <v>3085.6</v>
      </c>
      <c r="J1008" s="12" t="n">
        <v>1380.4</v>
      </c>
      <c r="K1008" s="12" t="n">
        <f aca="false">I1008-J1008</f>
        <v>1705.2</v>
      </c>
    </row>
    <row r="1009" customFormat="false" ht="15" hidden="false" customHeight="false" outlineLevel="0" collapsed="false">
      <c r="A1009" s="11" t="n">
        <v>46276</v>
      </c>
      <c r="B1009" s="5" t="s">
        <v>1092</v>
      </c>
      <c r="C1009" s="5" t="s">
        <v>68</v>
      </c>
      <c r="D1009" s="5" t="s">
        <v>69</v>
      </c>
      <c r="E1009" s="5" t="s">
        <v>65</v>
      </c>
      <c r="F1009" s="5" t="s">
        <v>103</v>
      </c>
      <c r="G1009" s="5" t="n">
        <v>161</v>
      </c>
      <c r="H1009" s="12" t="n">
        <v>15.2</v>
      </c>
      <c r="I1009" s="12" t="n">
        <v>2447.2</v>
      </c>
      <c r="J1009" s="12" t="n">
        <v>1094.8</v>
      </c>
      <c r="K1009" s="12" t="n">
        <f aca="false">I1009-J1009</f>
        <v>1352.4</v>
      </c>
    </row>
    <row r="1010" customFormat="false" ht="15" hidden="false" customHeight="false" outlineLevel="0" collapsed="false">
      <c r="A1010" s="11" t="n">
        <v>46276</v>
      </c>
      <c r="B1010" s="5" t="s">
        <v>1093</v>
      </c>
      <c r="C1010" s="5" t="s">
        <v>99</v>
      </c>
      <c r="D1010" s="5" t="s">
        <v>69</v>
      </c>
      <c r="E1010" s="5" t="s">
        <v>70</v>
      </c>
      <c r="F1010" s="5" t="s">
        <v>92</v>
      </c>
      <c r="G1010" s="5" t="n">
        <v>2468</v>
      </c>
      <c r="H1010" s="12" t="n">
        <v>2.3</v>
      </c>
      <c r="I1010" s="12" t="n">
        <v>5676.4</v>
      </c>
      <c r="J1010" s="12" t="n">
        <v>2344.6</v>
      </c>
      <c r="K1010" s="12" t="n">
        <f aca="false">I1010-J1010</f>
        <v>3331.8</v>
      </c>
    </row>
    <row r="1011" customFormat="false" ht="15" hidden="false" customHeight="false" outlineLevel="0" collapsed="false">
      <c r="A1011" s="11" t="n">
        <v>46276</v>
      </c>
      <c r="B1011" s="5" t="s">
        <v>1094</v>
      </c>
      <c r="C1011" s="5" t="s">
        <v>81</v>
      </c>
      <c r="D1011" s="5" t="s">
        <v>64</v>
      </c>
      <c r="E1011" s="5" t="s">
        <v>70</v>
      </c>
      <c r="F1011" s="5" t="s">
        <v>92</v>
      </c>
      <c r="G1011" s="5" t="n">
        <v>2448</v>
      </c>
      <c r="H1011" s="12" t="n">
        <v>2.4</v>
      </c>
      <c r="I1011" s="12" t="n">
        <v>5875.2</v>
      </c>
      <c r="J1011" s="12" t="n">
        <v>2325.6</v>
      </c>
      <c r="K1011" s="12" t="n">
        <f aca="false">I1011-J1011</f>
        <v>3549.6</v>
      </c>
    </row>
    <row r="1012" customFormat="false" ht="15" hidden="false" customHeight="false" outlineLevel="0" collapsed="false">
      <c r="A1012" s="11" t="n">
        <v>46276</v>
      </c>
      <c r="B1012" s="5" t="s">
        <v>1095</v>
      </c>
      <c r="C1012" s="5" t="s">
        <v>115</v>
      </c>
      <c r="D1012" s="5" t="s">
        <v>69</v>
      </c>
      <c r="E1012" s="5" t="s">
        <v>70</v>
      </c>
      <c r="F1012" s="5" t="s">
        <v>71</v>
      </c>
      <c r="G1012" s="5" t="n">
        <v>1643</v>
      </c>
      <c r="H1012" s="12" t="n">
        <v>2.95</v>
      </c>
      <c r="I1012" s="12" t="n">
        <v>4846.85</v>
      </c>
      <c r="J1012" s="12" t="n">
        <v>2135.9</v>
      </c>
      <c r="K1012" s="12" t="n">
        <f aca="false">I1012-J1012</f>
        <v>2710.95</v>
      </c>
    </row>
    <row r="1013" customFormat="false" ht="15" hidden="false" customHeight="false" outlineLevel="0" collapsed="false">
      <c r="A1013" s="11" t="n">
        <v>46277</v>
      </c>
      <c r="B1013" s="5" t="s">
        <v>1096</v>
      </c>
      <c r="C1013" s="5" t="s">
        <v>68</v>
      </c>
      <c r="D1013" s="5" t="s">
        <v>69</v>
      </c>
      <c r="E1013" s="5" t="s">
        <v>75</v>
      </c>
      <c r="F1013" s="5" t="s">
        <v>78</v>
      </c>
      <c r="G1013" s="5" t="n">
        <v>136</v>
      </c>
      <c r="H1013" s="12" t="n">
        <v>6.1</v>
      </c>
      <c r="I1013" s="12" t="n">
        <v>829.6</v>
      </c>
      <c r="J1013" s="12" t="n">
        <v>353.6</v>
      </c>
      <c r="K1013" s="12" t="n">
        <f aca="false">I1013-J1013</f>
        <v>476</v>
      </c>
    </row>
    <row r="1014" customFormat="false" ht="15" hidden="false" customHeight="false" outlineLevel="0" collapsed="false">
      <c r="A1014" s="11" t="n">
        <v>46278</v>
      </c>
      <c r="B1014" s="5" t="s">
        <v>1097</v>
      </c>
      <c r="C1014" s="5" t="s">
        <v>81</v>
      </c>
      <c r="D1014" s="5" t="s">
        <v>64</v>
      </c>
      <c r="E1014" s="5" t="s">
        <v>65</v>
      </c>
      <c r="F1014" s="5" t="s">
        <v>88</v>
      </c>
      <c r="G1014" s="5" t="n">
        <v>548</v>
      </c>
      <c r="H1014" s="12" t="n">
        <v>11.5</v>
      </c>
      <c r="I1014" s="12" t="n">
        <v>6302</v>
      </c>
      <c r="J1014" s="12" t="n">
        <v>2794.8</v>
      </c>
      <c r="K1014" s="12" t="n">
        <f aca="false">I1014-J1014</f>
        <v>3507.2</v>
      </c>
    </row>
    <row r="1015" customFormat="false" ht="15" hidden="false" customHeight="false" outlineLevel="0" collapsed="false">
      <c r="A1015" s="11" t="n">
        <v>46278</v>
      </c>
      <c r="B1015" s="5" t="s">
        <v>1098</v>
      </c>
      <c r="C1015" s="5" t="s">
        <v>68</v>
      </c>
      <c r="D1015" s="5" t="s">
        <v>69</v>
      </c>
      <c r="E1015" s="5" t="s">
        <v>65</v>
      </c>
      <c r="F1015" s="5" t="s">
        <v>103</v>
      </c>
      <c r="G1015" s="5" t="n">
        <v>161</v>
      </c>
      <c r="H1015" s="12" t="n">
        <v>15.2</v>
      </c>
      <c r="I1015" s="12" t="n">
        <v>2447.2</v>
      </c>
      <c r="J1015" s="12" t="n">
        <v>1094.8</v>
      </c>
      <c r="K1015" s="12" t="n">
        <f aca="false">I1015-J1015</f>
        <v>1352.4</v>
      </c>
    </row>
    <row r="1016" customFormat="false" ht="15" hidden="false" customHeight="false" outlineLevel="0" collapsed="false">
      <c r="A1016" s="11" t="n">
        <v>46279</v>
      </c>
      <c r="B1016" s="5" t="s">
        <v>1099</v>
      </c>
      <c r="C1016" s="5" t="s">
        <v>56</v>
      </c>
      <c r="D1016" s="5" t="s">
        <v>57</v>
      </c>
      <c r="E1016" s="5" t="s">
        <v>58</v>
      </c>
      <c r="F1016" s="5" t="s">
        <v>59</v>
      </c>
      <c r="G1016" s="5" t="n">
        <v>4426</v>
      </c>
      <c r="H1016" s="12" t="n">
        <v>3.9</v>
      </c>
      <c r="I1016" s="12" t="n">
        <v>17261.4</v>
      </c>
      <c r="J1016" s="12" t="n">
        <v>7524.2</v>
      </c>
      <c r="K1016" s="12" t="n">
        <f aca="false">I1016-J1016</f>
        <v>9737.2</v>
      </c>
    </row>
    <row r="1017" customFormat="false" ht="15" hidden="false" customHeight="false" outlineLevel="0" collapsed="false">
      <c r="A1017" s="11" t="n">
        <v>46279</v>
      </c>
      <c r="B1017" s="5" t="s">
        <v>1100</v>
      </c>
      <c r="C1017" s="5" t="s">
        <v>73</v>
      </c>
      <c r="D1017" s="5" t="s">
        <v>64</v>
      </c>
      <c r="E1017" s="5" t="s">
        <v>70</v>
      </c>
      <c r="F1017" s="5" t="s">
        <v>90</v>
      </c>
      <c r="G1017" s="5" t="n">
        <v>1029</v>
      </c>
      <c r="H1017" s="12" t="n">
        <v>2.59</v>
      </c>
      <c r="I1017" s="12" t="n">
        <v>2665.11</v>
      </c>
      <c r="J1017" s="12" t="n">
        <v>1234.8</v>
      </c>
      <c r="K1017" s="12" t="n">
        <f aca="false">I1017-J1017</f>
        <v>1430.31</v>
      </c>
    </row>
    <row r="1018" customFormat="false" ht="15" hidden="false" customHeight="false" outlineLevel="0" collapsed="false">
      <c r="A1018" s="11" t="n">
        <v>46279</v>
      </c>
      <c r="B1018" s="5" t="s">
        <v>1101</v>
      </c>
      <c r="C1018" s="5" t="s">
        <v>94</v>
      </c>
      <c r="D1018" s="5" t="s">
        <v>95</v>
      </c>
      <c r="E1018" s="5" t="s">
        <v>70</v>
      </c>
      <c r="F1018" s="5" t="s">
        <v>90</v>
      </c>
      <c r="G1018" s="5" t="n">
        <v>956</v>
      </c>
      <c r="H1018" s="12" t="n">
        <v>2.7</v>
      </c>
      <c r="I1018" s="12" t="n">
        <v>2581.2</v>
      </c>
      <c r="J1018" s="12" t="n">
        <v>1147.2</v>
      </c>
      <c r="K1018" s="12" t="n">
        <f aca="false">I1018-J1018</f>
        <v>1434</v>
      </c>
    </row>
    <row r="1019" customFormat="false" ht="15" hidden="false" customHeight="false" outlineLevel="0" collapsed="false">
      <c r="A1019" s="11" t="n">
        <v>46279</v>
      </c>
      <c r="B1019" s="5" t="s">
        <v>1102</v>
      </c>
      <c r="C1019" s="5" t="s">
        <v>85</v>
      </c>
      <c r="D1019" s="5" t="s">
        <v>69</v>
      </c>
      <c r="E1019" s="5" t="s">
        <v>70</v>
      </c>
      <c r="F1019" s="5" t="s">
        <v>71</v>
      </c>
      <c r="G1019" s="5" t="n">
        <v>598</v>
      </c>
      <c r="H1019" s="12" t="n">
        <v>2.95</v>
      </c>
      <c r="I1019" s="12" t="n">
        <v>1764.1</v>
      </c>
      <c r="J1019" s="12" t="n">
        <v>777.4</v>
      </c>
      <c r="K1019" s="12" t="n">
        <f aca="false">I1019-J1019</f>
        <v>986.7</v>
      </c>
    </row>
    <row r="1020" customFormat="false" ht="15" hidden="false" customHeight="false" outlineLevel="0" collapsed="false">
      <c r="A1020" s="11" t="n">
        <v>46280</v>
      </c>
      <c r="B1020" s="5" t="s">
        <v>1103</v>
      </c>
      <c r="C1020" s="5" t="s">
        <v>73</v>
      </c>
      <c r="D1020" s="5" t="s">
        <v>64</v>
      </c>
      <c r="E1020" s="5" t="s">
        <v>58</v>
      </c>
      <c r="F1020" s="5" t="s">
        <v>96</v>
      </c>
      <c r="G1020" s="5" t="n">
        <v>5961</v>
      </c>
      <c r="H1020" s="12" t="n">
        <v>2.02</v>
      </c>
      <c r="I1020" s="12" t="n">
        <v>12041.22</v>
      </c>
      <c r="J1020" s="12" t="n">
        <v>5484.12</v>
      </c>
      <c r="K1020" s="12" t="n">
        <f aca="false">I1020-J1020</f>
        <v>6557.1</v>
      </c>
    </row>
    <row r="1021" customFormat="false" ht="15" hidden="false" customHeight="false" outlineLevel="0" collapsed="false">
      <c r="A1021" s="11" t="n">
        <v>46280</v>
      </c>
      <c r="B1021" s="5" t="s">
        <v>1104</v>
      </c>
      <c r="C1021" s="5" t="s">
        <v>63</v>
      </c>
      <c r="D1021" s="5" t="s">
        <v>64</v>
      </c>
      <c r="E1021" s="5" t="s">
        <v>75</v>
      </c>
      <c r="F1021" s="5" t="s">
        <v>76</v>
      </c>
      <c r="G1021" s="5" t="n">
        <v>453</v>
      </c>
      <c r="H1021" s="12" t="n">
        <v>4.8</v>
      </c>
      <c r="I1021" s="12" t="n">
        <v>2174.4</v>
      </c>
      <c r="J1021" s="12" t="n">
        <v>928.65</v>
      </c>
      <c r="K1021" s="12" t="n">
        <f aca="false">I1021-J1021</f>
        <v>1245.75</v>
      </c>
    </row>
    <row r="1022" customFormat="false" ht="15" hidden="false" customHeight="false" outlineLevel="0" collapsed="false">
      <c r="A1022" s="11" t="n">
        <v>46280</v>
      </c>
      <c r="B1022" s="5" t="s">
        <v>1105</v>
      </c>
      <c r="C1022" s="5" t="s">
        <v>87</v>
      </c>
      <c r="D1022" s="5" t="s">
        <v>64</v>
      </c>
      <c r="E1022" s="5" t="s">
        <v>65</v>
      </c>
      <c r="F1022" s="5" t="s">
        <v>88</v>
      </c>
      <c r="G1022" s="5" t="n">
        <v>268</v>
      </c>
      <c r="H1022" s="12" t="n">
        <v>11.5</v>
      </c>
      <c r="I1022" s="12" t="n">
        <v>3082</v>
      </c>
      <c r="J1022" s="12" t="n">
        <v>1366.8</v>
      </c>
      <c r="K1022" s="12" t="n">
        <f aca="false">I1022-J1022</f>
        <v>1715.2</v>
      </c>
    </row>
    <row r="1023" customFormat="false" ht="15" hidden="false" customHeight="false" outlineLevel="0" collapsed="false">
      <c r="A1023" s="11" t="n">
        <v>46281</v>
      </c>
      <c r="B1023" s="5" t="s">
        <v>1106</v>
      </c>
      <c r="C1023" s="5" t="s">
        <v>68</v>
      </c>
      <c r="D1023" s="5" t="s">
        <v>69</v>
      </c>
      <c r="E1023" s="5" t="s">
        <v>58</v>
      </c>
      <c r="F1023" s="5" t="s">
        <v>96</v>
      </c>
      <c r="G1023" s="5" t="n">
        <v>3195</v>
      </c>
      <c r="H1023" s="12" t="n">
        <v>2.1</v>
      </c>
      <c r="I1023" s="12" t="n">
        <v>6709.5</v>
      </c>
      <c r="J1023" s="12" t="n">
        <v>2939.4</v>
      </c>
      <c r="K1023" s="12" t="n">
        <f aca="false">I1023-J1023</f>
        <v>3770.1</v>
      </c>
    </row>
    <row r="1024" customFormat="false" ht="15" hidden="false" customHeight="false" outlineLevel="0" collapsed="false">
      <c r="A1024" s="11" t="n">
        <v>46281</v>
      </c>
      <c r="B1024" s="5" t="s">
        <v>1107</v>
      </c>
      <c r="C1024" s="5" t="s">
        <v>99</v>
      </c>
      <c r="D1024" s="5" t="s">
        <v>69</v>
      </c>
      <c r="E1024" s="5" t="s">
        <v>70</v>
      </c>
      <c r="F1024" s="5" t="s">
        <v>90</v>
      </c>
      <c r="G1024" s="5" t="n">
        <v>2191</v>
      </c>
      <c r="H1024" s="12" t="n">
        <v>2.59</v>
      </c>
      <c r="I1024" s="12" t="n">
        <v>5674.69</v>
      </c>
      <c r="J1024" s="12" t="n">
        <v>2629.2</v>
      </c>
      <c r="K1024" s="12" t="n">
        <f aca="false">I1024-J1024</f>
        <v>3045.49</v>
      </c>
    </row>
    <row r="1025" customFormat="false" ht="15" hidden="false" customHeight="false" outlineLevel="0" collapsed="false">
      <c r="A1025" s="11" t="n">
        <v>46281</v>
      </c>
      <c r="B1025" s="5" t="s">
        <v>1108</v>
      </c>
      <c r="C1025" s="5" t="s">
        <v>63</v>
      </c>
      <c r="D1025" s="5" t="s">
        <v>64</v>
      </c>
      <c r="E1025" s="5" t="s">
        <v>70</v>
      </c>
      <c r="F1025" s="5" t="s">
        <v>92</v>
      </c>
      <c r="G1025" s="5" t="n">
        <v>2770</v>
      </c>
      <c r="H1025" s="12" t="n">
        <v>2.4</v>
      </c>
      <c r="I1025" s="12" t="n">
        <v>6648</v>
      </c>
      <c r="J1025" s="12" t="n">
        <v>2631.5</v>
      </c>
      <c r="K1025" s="12" t="n">
        <f aca="false">I1025-J1025</f>
        <v>4016.5</v>
      </c>
    </row>
    <row r="1026" customFormat="false" ht="15" hidden="false" customHeight="false" outlineLevel="0" collapsed="false">
      <c r="A1026" s="11" t="n">
        <v>46281</v>
      </c>
      <c r="B1026" s="5" t="s">
        <v>1109</v>
      </c>
      <c r="C1026" s="5" t="s">
        <v>68</v>
      </c>
      <c r="D1026" s="5" t="s">
        <v>69</v>
      </c>
      <c r="E1026" s="5" t="s">
        <v>70</v>
      </c>
      <c r="F1026" s="5" t="s">
        <v>90</v>
      </c>
      <c r="G1026" s="5" t="n">
        <v>675</v>
      </c>
      <c r="H1026" s="12" t="n">
        <v>2.7</v>
      </c>
      <c r="I1026" s="12" t="n">
        <v>1822.5</v>
      </c>
      <c r="J1026" s="12" t="n">
        <v>810</v>
      </c>
      <c r="K1026" s="12" t="n">
        <f aca="false">I1026-J1026</f>
        <v>1012.5</v>
      </c>
    </row>
    <row r="1027" customFormat="false" ht="15" hidden="false" customHeight="false" outlineLevel="0" collapsed="false">
      <c r="A1027" s="11" t="n">
        <v>46282</v>
      </c>
      <c r="B1027" s="5" t="s">
        <v>1110</v>
      </c>
      <c r="C1027" s="5" t="s">
        <v>99</v>
      </c>
      <c r="D1027" s="5" t="s">
        <v>69</v>
      </c>
      <c r="E1027" s="5" t="s">
        <v>75</v>
      </c>
      <c r="F1027" s="5" t="s">
        <v>76</v>
      </c>
      <c r="G1027" s="5" t="n">
        <v>621</v>
      </c>
      <c r="H1027" s="12" t="n">
        <v>4.61</v>
      </c>
      <c r="I1027" s="12" t="n">
        <v>2862.81</v>
      </c>
      <c r="J1027" s="12" t="n">
        <v>1273.05</v>
      </c>
      <c r="K1027" s="12" t="n">
        <f aca="false">I1027-J1027</f>
        <v>1589.76</v>
      </c>
    </row>
    <row r="1028" customFormat="false" ht="15" hidden="false" customHeight="false" outlineLevel="0" collapsed="false">
      <c r="A1028" s="11" t="n">
        <v>46282</v>
      </c>
      <c r="B1028" s="5" t="s">
        <v>1111</v>
      </c>
      <c r="C1028" s="5" t="s">
        <v>87</v>
      </c>
      <c r="D1028" s="5" t="s">
        <v>64</v>
      </c>
      <c r="E1028" s="5" t="s">
        <v>75</v>
      </c>
      <c r="F1028" s="5" t="s">
        <v>78</v>
      </c>
      <c r="G1028" s="5" t="n">
        <v>197</v>
      </c>
      <c r="H1028" s="12" t="n">
        <v>6.1</v>
      </c>
      <c r="I1028" s="12" t="n">
        <v>1201.7</v>
      </c>
      <c r="J1028" s="12" t="n">
        <v>512.2</v>
      </c>
      <c r="K1028" s="12" t="n">
        <f aca="false">I1028-J1028</f>
        <v>689.5</v>
      </c>
    </row>
    <row r="1029" customFormat="false" ht="15" hidden="false" customHeight="false" outlineLevel="0" collapsed="false">
      <c r="A1029" s="11" t="n">
        <v>46283</v>
      </c>
      <c r="B1029" s="5" t="s">
        <v>1112</v>
      </c>
      <c r="C1029" s="5" t="s">
        <v>81</v>
      </c>
      <c r="D1029" s="5" t="s">
        <v>64</v>
      </c>
      <c r="E1029" s="5" t="s">
        <v>58</v>
      </c>
      <c r="F1029" s="5" t="s">
        <v>96</v>
      </c>
      <c r="G1029" s="5" t="n">
        <v>11951</v>
      </c>
      <c r="H1029" s="12" t="n">
        <v>2.1</v>
      </c>
      <c r="I1029" s="12" t="n">
        <v>25097.1</v>
      </c>
      <c r="J1029" s="12" t="n">
        <v>10994.92</v>
      </c>
      <c r="K1029" s="12" t="n">
        <f aca="false">I1029-J1029</f>
        <v>14102.18</v>
      </c>
    </row>
    <row r="1030" customFormat="false" ht="15" hidden="false" customHeight="false" outlineLevel="0" collapsed="false">
      <c r="A1030" s="11" t="n">
        <v>46283</v>
      </c>
      <c r="B1030" s="5" t="s">
        <v>1113</v>
      </c>
      <c r="C1030" s="5" t="s">
        <v>87</v>
      </c>
      <c r="D1030" s="5" t="s">
        <v>64</v>
      </c>
      <c r="E1030" s="5" t="s">
        <v>75</v>
      </c>
      <c r="F1030" s="5" t="s">
        <v>78</v>
      </c>
      <c r="G1030" s="5" t="n">
        <v>197</v>
      </c>
      <c r="H1030" s="12" t="n">
        <v>6.1</v>
      </c>
      <c r="I1030" s="12" t="n">
        <v>1201.7</v>
      </c>
      <c r="J1030" s="12" t="n">
        <v>512.2</v>
      </c>
      <c r="K1030" s="12" t="n">
        <f aca="false">I1030-J1030</f>
        <v>689.5</v>
      </c>
    </row>
    <row r="1031" customFormat="false" ht="15" hidden="false" customHeight="false" outlineLevel="0" collapsed="false">
      <c r="A1031" s="11" t="n">
        <v>46283</v>
      </c>
      <c r="B1031" s="5" t="s">
        <v>1114</v>
      </c>
      <c r="C1031" s="5" t="s">
        <v>87</v>
      </c>
      <c r="D1031" s="5" t="s">
        <v>64</v>
      </c>
      <c r="E1031" s="5" t="s">
        <v>75</v>
      </c>
      <c r="F1031" s="5" t="s">
        <v>83</v>
      </c>
      <c r="G1031" s="5" t="n">
        <v>287</v>
      </c>
      <c r="H1031" s="12" t="n">
        <v>4.2</v>
      </c>
      <c r="I1031" s="12" t="n">
        <v>1205.4</v>
      </c>
      <c r="J1031" s="12" t="n">
        <v>530.95</v>
      </c>
      <c r="K1031" s="12" t="n">
        <f aca="false">I1031-J1031</f>
        <v>674.45</v>
      </c>
    </row>
    <row r="1032" customFormat="false" ht="15" hidden="false" customHeight="false" outlineLevel="0" collapsed="false">
      <c r="A1032" s="11" t="n">
        <v>46283</v>
      </c>
      <c r="B1032" s="5" t="s">
        <v>1115</v>
      </c>
      <c r="C1032" s="5" t="s">
        <v>73</v>
      </c>
      <c r="D1032" s="5" t="s">
        <v>64</v>
      </c>
      <c r="E1032" s="5" t="s">
        <v>65</v>
      </c>
      <c r="F1032" s="5" t="s">
        <v>66</v>
      </c>
      <c r="G1032" s="5" t="n">
        <v>214</v>
      </c>
      <c r="H1032" s="12" t="n">
        <v>23.9</v>
      </c>
      <c r="I1032" s="12" t="n">
        <v>5114.6</v>
      </c>
      <c r="J1032" s="12" t="n">
        <v>2439.6</v>
      </c>
      <c r="K1032" s="12" t="n">
        <f aca="false">I1032-J1032</f>
        <v>2675</v>
      </c>
    </row>
    <row r="1033" customFormat="false" ht="15" hidden="false" customHeight="false" outlineLevel="0" collapsed="false">
      <c r="A1033" s="11" t="n">
        <v>46283</v>
      </c>
      <c r="B1033" s="5" t="s">
        <v>1116</v>
      </c>
      <c r="C1033" s="5" t="s">
        <v>115</v>
      </c>
      <c r="D1033" s="5" t="s">
        <v>69</v>
      </c>
      <c r="E1033" s="5" t="s">
        <v>65</v>
      </c>
      <c r="F1033" s="5" t="s">
        <v>66</v>
      </c>
      <c r="G1033" s="5" t="n">
        <v>130</v>
      </c>
      <c r="H1033" s="12" t="n">
        <v>24.9</v>
      </c>
      <c r="I1033" s="12" t="n">
        <v>3237</v>
      </c>
      <c r="J1033" s="12" t="n">
        <v>1482</v>
      </c>
      <c r="K1033" s="12" t="n">
        <f aca="false">I1033-J1033</f>
        <v>1755</v>
      </c>
    </row>
    <row r="1034" customFormat="false" ht="15" hidden="false" customHeight="false" outlineLevel="0" collapsed="false">
      <c r="A1034" s="11" t="n">
        <v>46283</v>
      </c>
      <c r="B1034" s="5" t="s">
        <v>1117</v>
      </c>
      <c r="C1034" s="5" t="s">
        <v>85</v>
      </c>
      <c r="D1034" s="5" t="s">
        <v>69</v>
      </c>
      <c r="E1034" s="5" t="s">
        <v>65</v>
      </c>
      <c r="F1034" s="5" t="s">
        <v>66</v>
      </c>
      <c r="G1034" s="5" t="n">
        <v>83</v>
      </c>
      <c r="H1034" s="12" t="n">
        <v>24.9</v>
      </c>
      <c r="I1034" s="12" t="n">
        <v>2066.7</v>
      </c>
      <c r="J1034" s="12" t="n">
        <v>946.2</v>
      </c>
      <c r="K1034" s="12" t="n">
        <f aca="false">I1034-J1034</f>
        <v>1120.5</v>
      </c>
    </row>
    <row r="1035" customFormat="false" ht="15" hidden="false" customHeight="false" outlineLevel="0" collapsed="false">
      <c r="A1035" s="11" t="n">
        <v>46283</v>
      </c>
      <c r="B1035" s="5" t="s">
        <v>1118</v>
      </c>
      <c r="C1035" s="5" t="s">
        <v>87</v>
      </c>
      <c r="D1035" s="5" t="s">
        <v>64</v>
      </c>
      <c r="E1035" s="5" t="s">
        <v>70</v>
      </c>
      <c r="F1035" s="5" t="s">
        <v>90</v>
      </c>
      <c r="G1035" s="5" t="n">
        <v>1025</v>
      </c>
      <c r="H1035" s="12" t="n">
        <v>2.7</v>
      </c>
      <c r="I1035" s="12" t="n">
        <v>2767.5</v>
      </c>
      <c r="J1035" s="12" t="n">
        <v>1230</v>
      </c>
      <c r="K1035" s="12" t="n">
        <f aca="false">I1035-J1035</f>
        <v>1537.5</v>
      </c>
    </row>
    <row r="1036" customFormat="false" ht="15" hidden="false" customHeight="false" outlineLevel="0" collapsed="false">
      <c r="A1036" s="11" t="n">
        <v>46283</v>
      </c>
      <c r="B1036" s="5" t="s">
        <v>1119</v>
      </c>
      <c r="C1036" s="5" t="s">
        <v>115</v>
      </c>
      <c r="D1036" s="5" t="s">
        <v>69</v>
      </c>
      <c r="E1036" s="5" t="s">
        <v>70</v>
      </c>
      <c r="F1036" s="5" t="s">
        <v>92</v>
      </c>
      <c r="G1036" s="5" t="n">
        <v>2019</v>
      </c>
      <c r="H1036" s="12" t="n">
        <v>2.4</v>
      </c>
      <c r="I1036" s="12" t="n">
        <v>4845.6</v>
      </c>
      <c r="J1036" s="12" t="n">
        <v>1918.05</v>
      </c>
      <c r="K1036" s="12" t="n">
        <f aca="false">I1036-J1036</f>
        <v>2927.55</v>
      </c>
    </row>
    <row r="1037" customFormat="false" ht="15" hidden="false" customHeight="false" outlineLevel="0" collapsed="false">
      <c r="A1037" s="11" t="n">
        <v>46283</v>
      </c>
      <c r="B1037" s="5" t="s">
        <v>1120</v>
      </c>
      <c r="C1037" s="5" t="s">
        <v>85</v>
      </c>
      <c r="D1037" s="5" t="s">
        <v>69</v>
      </c>
      <c r="E1037" s="5" t="s">
        <v>70</v>
      </c>
      <c r="F1037" s="5" t="s">
        <v>92</v>
      </c>
      <c r="G1037" s="5" t="n">
        <v>735</v>
      </c>
      <c r="H1037" s="12" t="n">
        <v>2.4</v>
      </c>
      <c r="I1037" s="12" t="n">
        <v>1764</v>
      </c>
      <c r="J1037" s="12" t="n">
        <v>698.25</v>
      </c>
      <c r="K1037" s="12" t="n">
        <f aca="false">I1037-J1037</f>
        <v>1065.75</v>
      </c>
    </row>
    <row r="1038" customFormat="false" ht="15" hidden="false" customHeight="false" outlineLevel="0" collapsed="false">
      <c r="A1038" s="11" t="n">
        <v>46283</v>
      </c>
      <c r="B1038" s="5" t="s">
        <v>1121</v>
      </c>
      <c r="C1038" s="5" t="s">
        <v>56</v>
      </c>
      <c r="D1038" s="5" t="s">
        <v>57</v>
      </c>
      <c r="E1038" s="5" t="s">
        <v>70</v>
      </c>
      <c r="F1038" s="5" t="s">
        <v>90</v>
      </c>
      <c r="G1038" s="5" t="n">
        <v>2146</v>
      </c>
      <c r="H1038" s="12" t="n">
        <v>2.7</v>
      </c>
      <c r="I1038" s="12" t="n">
        <v>5794.2</v>
      </c>
      <c r="J1038" s="12" t="n">
        <v>2575.2</v>
      </c>
      <c r="K1038" s="12" t="n">
        <f aca="false">I1038-J1038</f>
        <v>3219</v>
      </c>
    </row>
    <row r="1039" customFormat="false" ht="15" hidden="false" customHeight="false" outlineLevel="0" collapsed="false">
      <c r="A1039" s="11" t="n">
        <v>46284</v>
      </c>
      <c r="B1039" s="5" t="s">
        <v>1122</v>
      </c>
      <c r="C1039" s="5" t="s">
        <v>99</v>
      </c>
      <c r="D1039" s="5" t="s">
        <v>69</v>
      </c>
      <c r="E1039" s="5" t="s">
        <v>58</v>
      </c>
      <c r="F1039" s="5" t="s">
        <v>117</v>
      </c>
      <c r="G1039" s="5" t="n">
        <v>4649</v>
      </c>
      <c r="H1039" s="12" t="n">
        <v>3.26</v>
      </c>
      <c r="I1039" s="12" t="n">
        <v>15155.74</v>
      </c>
      <c r="J1039" s="12" t="n">
        <v>6741.05</v>
      </c>
      <c r="K1039" s="12" t="n">
        <f aca="false">I1039-J1039</f>
        <v>8414.69</v>
      </c>
    </row>
    <row r="1040" customFormat="false" ht="15" hidden="false" customHeight="false" outlineLevel="0" collapsed="false">
      <c r="A1040" s="11" t="n">
        <v>46284</v>
      </c>
      <c r="B1040" s="5" t="s">
        <v>1123</v>
      </c>
      <c r="C1040" s="5" t="s">
        <v>73</v>
      </c>
      <c r="D1040" s="5" t="s">
        <v>64</v>
      </c>
      <c r="E1040" s="5" t="s">
        <v>75</v>
      </c>
      <c r="F1040" s="5" t="s">
        <v>76</v>
      </c>
      <c r="G1040" s="5" t="n">
        <v>316</v>
      </c>
      <c r="H1040" s="12" t="n">
        <v>4.61</v>
      </c>
      <c r="I1040" s="12" t="n">
        <v>1456.76</v>
      </c>
      <c r="J1040" s="12" t="n">
        <v>647.8</v>
      </c>
      <c r="K1040" s="12" t="n">
        <f aca="false">I1040-J1040</f>
        <v>808.96</v>
      </c>
    </row>
    <row r="1041" customFormat="false" ht="15" hidden="false" customHeight="false" outlineLevel="0" collapsed="false">
      <c r="A1041" s="11" t="n">
        <v>46284</v>
      </c>
      <c r="B1041" s="5" t="s">
        <v>1124</v>
      </c>
      <c r="C1041" s="5" t="s">
        <v>99</v>
      </c>
      <c r="D1041" s="5" t="s">
        <v>69</v>
      </c>
      <c r="E1041" s="5" t="s">
        <v>70</v>
      </c>
      <c r="F1041" s="5" t="s">
        <v>92</v>
      </c>
      <c r="G1041" s="5" t="n">
        <v>2468</v>
      </c>
      <c r="H1041" s="12" t="n">
        <v>2.3</v>
      </c>
      <c r="I1041" s="12" t="n">
        <v>5676.4</v>
      </c>
      <c r="J1041" s="12" t="n">
        <v>2344.6</v>
      </c>
      <c r="K1041" s="12" t="n">
        <f aca="false">I1041-J1041</f>
        <v>3331.8</v>
      </c>
    </row>
    <row r="1042" customFormat="false" ht="15" hidden="false" customHeight="false" outlineLevel="0" collapsed="false">
      <c r="A1042" s="11" t="n">
        <v>46284</v>
      </c>
      <c r="B1042" s="5" t="s">
        <v>1125</v>
      </c>
      <c r="C1042" s="5" t="s">
        <v>73</v>
      </c>
      <c r="D1042" s="5" t="s">
        <v>64</v>
      </c>
      <c r="E1042" s="5" t="s">
        <v>70</v>
      </c>
      <c r="F1042" s="5" t="s">
        <v>90</v>
      </c>
      <c r="G1042" s="5" t="n">
        <v>1029</v>
      </c>
      <c r="H1042" s="12" t="n">
        <v>2.59</v>
      </c>
      <c r="I1042" s="12" t="n">
        <v>2665.11</v>
      </c>
      <c r="J1042" s="12" t="n">
        <v>1234.8</v>
      </c>
      <c r="K1042" s="12" t="n">
        <f aca="false">I1042-J1042</f>
        <v>1430.31</v>
      </c>
    </row>
    <row r="1043" customFormat="false" ht="15" hidden="false" customHeight="false" outlineLevel="0" collapsed="false">
      <c r="A1043" s="11" t="n">
        <v>46285</v>
      </c>
      <c r="B1043" s="5" t="s">
        <v>1126</v>
      </c>
      <c r="C1043" s="5" t="s">
        <v>99</v>
      </c>
      <c r="D1043" s="5" t="s">
        <v>69</v>
      </c>
      <c r="E1043" s="5" t="s">
        <v>58</v>
      </c>
      <c r="F1043" s="5" t="s">
        <v>61</v>
      </c>
      <c r="G1043" s="5" t="n">
        <v>644</v>
      </c>
      <c r="H1043" s="12" t="n">
        <v>23.52</v>
      </c>
      <c r="I1043" s="12" t="n">
        <v>15146.88</v>
      </c>
      <c r="J1043" s="12" t="n">
        <v>7599.2</v>
      </c>
      <c r="K1043" s="12" t="n">
        <f aca="false">I1043-J1043</f>
        <v>7547.68</v>
      </c>
    </row>
    <row r="1044" customFormat="false" ht="15" hidden="false" customHeight="false" outlineLevel="0" collapsed="false">
      <c r="A1044" s="11" t="n">
        <v>46285</v>
      </c>
      <c r="B1044" s="5" t="s">
        <v>1127</v>
      </c>
      <c r="C1044" s="5" t="s">
        <v>73</v>
      </c>
      <c r="D1044" s="5" t="s">
        <v>64</v>
      </c>
      <c r="E1044" s="5" t="s">
        <v>75</v>
      </c>
      <c r="F1044" s="5" t="s">
        <v>78</v>
      </c>
      <c r="G1044" s="5" t="n">
        <v>249</v>
      </c>
      <c r="H1044" s="12" t="n">
        <v>5.86</v>
      </c>
      <c r="I1044" s="12" t="n">
        <v>1459.14</v>
      </c>
      <c r="J1044" s="12" t="n">
        <v>647.4</v>
      </c>
      <c r="K1044" s="12" t="n">
        <f aca="false">I1044-J1044</f>
        <v>811.74</v>
      </c>
    </row>
    <row r="1045" customFormat="false" ht="15" hidden="false" customHeight="false" outlineLevel="0" collapsed="false">
      <c r="A1045" s="11" t="n">
        <v>46285</v>
      </c>
      <c r="B1045" s="5" t="s">
        <v>1128</v>
      </c>
      <c r="C1045" s="5" t="s">
        <v>63</v>
      </c>
      <c r="D1045" s="5" t="s">
        <v>64</v>
      </c>
      <c r="E1045" s="5" t="s">
        <v>70</v>
      </c>
      <c r="F1045" s="5" t="s">
        <v>71</v>
      </c>
      <c r="G1045" s="5" t="n">
        <v>2253</v>
      </c>
      <c r="H1045" s="12" t="n">
        <v>2.95</v>
      </c>
      <c r="I1045" s="12" t="n">
        <v>6646.35</v>
      </c>
      <c r="J1045" s="12" t="n">
        <v>2928.9</v>
      </c>
      <c r="K1045" s="12" t="n">
        <f aca="false">I1045-J1045</f>
        <v>3717.45</v>
      </c>
    </row>
    <row r="1046" customFormat="false" ht="15" hidden="false" customHeight="false" outlineLevel="0" collapsed="false">
      <c r="A1046" s="11" t="n">
        <v>46286</v>
      </c>
      <c r="B1046" s="5" t="s">
        <v>1129</v>
      </c>
      <c r="C1046" s="5" t="s">
        <v>99</v>
      </c>
      <c r="D1046" s="5" t="s">
        <v>69</v>
      </c>
      <c r="E1046" s="5" t="s">
        <v>65</v>
      </c>
      <c r="F1046" s="5" t="s">
        <v>88</v>
      </c>
      <c r="G1046" s="5" t="n">
        <v>613</v>
      </c>
      <c r="H1046" s="12" t="n">
        <v>11.04</v>
      </c>
      <c r="I1046" s="12" t="n">
        <v>6767.52</v>
      </c>
      <c r="J1046" s="12" t="n">
        <v>3126.3</v>
      </c>
      <c r="K1046" s="12" t="n">
        <f aca="false">I1046-J1046</f>
        <v>3641.22</v>
      </c>
    </row>
    <row r="1047" customFormat="false" ht="15" hidden="false" customHeight="false" outlineLevel="0" collapsed="false">
      <c r="A1047" s="11" t="n">
        <v>46286</v>
      </c>
      <c r="B1047" s="5" t="s">
        <v>1130</v>
      </c>
      <c r="C1047" s="5" t="s">
        <v>94</v>
      </c>
      <c r="D1047" s="5" t="s">
        <v>95</v>
      </c>
      <c r="E1047" s="5" t="s">
        <v>65</v>
      </c>
      <c r="F1047" s="5" t="s">
        <v>66</v>
      </c>
      <c r="G1047" s="5" t="n">
        <v>132</v>
      </c>
      <c r="H1047" s="12" t="n">
        <v>24.9</v>
      </c>
      <c r="I1047" s="12" t="n">
        <v>3286.8</v>
      </c>
      <c r="J1047" s="12" t="n">
        <v>1504.8</v>
      </c>
      <c r="K1047" s="12" t="n">
        <f aca="false">I1047-J1047</f>
        <v>1782</v>
      </c>
    </row>
    <row r="1048" customFormat="false" ht="15" hidden="false" customHeight="false" outlineLevel="0" collapsed="false">
      <c r="A1048" s="11" t="n">
        <v>46286</v>
      </c>
      <c r="B1048" s="5" t="s">
        <v>1131</v>
      </c>
      <c r="C1048" s="5" t="s">
        <v>87</v>
      </c>
      <c r="D1048" s="5" t="s">
        <v>64</v>
      </c>
      <c r="E1048" s="5" t="s">
        <v>70</v>
      </c>
      <c r="F1048" s="5" t="s">
        <v>90</v>
      </c>
      <c r="G1048" s="5" t="n">
        <v>1025</v>
      </c>
      <c r="H1048" s="12" t="n">
        <v>2.7</v>
      </c>
      <c r="I1048" s="12" t="n">
        <v>2767.5</v>
      </c>
      <c r="J1048" s="12" t="n">
        <v>1230</v>
      </c>
      <c r="K1048" s="12" t="n">
        <f aca="false">I1048-J1048</f>
        <v>1537.5</v>
      </c>
    </row>
    <row r="1049" customFormat="false" ht="15" hidden="false" customHeight="false" outlineLevel="0" collapsed="false">
      <c r="A1049" s="11" t="n">
        <v>46287</v>
      </c>
      <c r="B1049" s="5" t="s">
        <v>1132</v>
      </c>
      <c r="C1049" s="5" t="s">
        <v>73</v>
      </c>
      <c r="D1049" s="5" t="s">
        <v>64</v>
      </c>
      <c r="E1049" s="5" t="s">
        <v>58</v>
      </c>
      <c r="F1049" s="5" t="s">
        <v>117</v>
      </c>
      <c r="G1049" s="5" t="n">
        <v>3694</v>
      </c>
      <c r="H1049" s="12" t="n">
        <v>3.26</v>
      </c>
      <c r="I1049" s="12" t="n">
        <v>12042.44</v>
      </c>
      <c r="J1049" s="12" t="n">
        <v>5356.3</v>
      </c>
      <c r="K1049" s="12" t="n">
        <f aca="false">I1049-J1049</f>
        <v>6686.14</v>
      </c>
    </row>
    <row r="1050" customFormat="false" ht="15" hidden="false" customHeight="false" outlineLevel="0" collapsed="false">
      <c r="A1050" s="11" t="n">
        <v>46287</v>
      </c>
      <c r="B1050" s="5" t="s">
        <v>1133</v>
      </c>
      <c r="C1050" s="5" t="s">
        <v>87</v>
      </c>
      <c r="D1050" s="5" t="s">
        <v>64</v>
      </c>
      <c r="E1050" s="5" t="s">
        <v>65</v>
      </c>
      <c r="F1050" s="5" t="s">
        <v>88</v>
      </c>
      <c r="G1050" s="5" t="n">
        <v>268</v>
      </c>
      <c r="H1050" s="12" t="n">
        <v>11.5</v>
      </c>
      <c r="I1050" s="12" t="n">
        <v>3082</v>
      </c>
      <c r="J1050" s="12" t="n">
        <v>1366.8</v>
      </c>
      <c r="K1050" s="12" t="n">
        <f aca="false">I1050-J1050</f>
        <v>1715.2</v>
      </c>
    </row>
    <row r="1051" customFormat="false" ht="15" hidden="false" customHeight="false" outlineLevel="0" collapsed="false">
      <c r="A1051" s="11" t="n">
        <v>46287</v>
      </c>
      <c r="B1051" s="5" t="s">
        <v>1134</v>
      </c>
      <c r="C1051" s="5" t="s">
        <v>94</v>
      </c>
      <c r="D1051" s="5" t="s">
        <v>95</v>
      </c>
      <c r="E1051" s="5" t="s">
        <v>70</v>
      </c>
      <c r="F1051" s="5" t="s">
        <v>92</v>
      </c>
      <c r="G1051" s="5" t="n">
        <v>1075</v>
      </c>
      <c r="H1051" s="12" t="n">
        <v>2.4</v>
      </c>
      <c r="I1051" s="12" t="n">
        <v>2580</v>
      </c>
      <c r="J1051" s="12" t="n">
        <v>1021.25</v>
      </c>
      <c r="K1051" s="12" t="n">
        <f aca="false">I1051-J1051</f>
        <v>1558.75</v>
      </c>
    </row>
    <row r="1052" customFormat="false" ht="15" hidden="false" customHeight="false" outlineLevel="0" collapsed="false">
      <c r="A1052" s="11" t="n">
        <v>46287</v>
      </c>
      <c r="B1052" s="5" t="s">
        <v>1135</v>
      </c>
      <c r="C1052" s="5" t="s">
        <v>68</v>
      </c>
      <c r="D1052" s="5" t="s">
        <v>69</v>
      </c>
      <c r="E1052" s="5" t="s">
        <v>70</v>
      </c>
      <c r="F1052" s="5" t="s">
        <v>92</v>
      </c>
      <c r="G1052" s="5" t="n">
        <v>759</v>
      </c>
      <c r="H1052" s="12" t="n">
        <v>2.4</v>
      </c>
      <c r="I1052" s="12" t="n">
        <v>1821.6</v>
      </c>
      <c r="J1052" s="12" t="n">
        <v>721.05</v>
      </c>
      <c r="K1052" s="12" t="n">
        <f aca="false">I1052-J1052</f>
        <v>1100.55</v>
      </c>
    </row>
    <row r="1053" customFormat="false" ht="15" hidden="false" customHeight="false" outlineLevel="0" collapsed="false">
      <c r="A1053" s="11" t="n">
        <v>46287</v>
      </c>
      <c r="B1053" s="5" t="s">
        <v>1136</v>
      </c>
      <c r="C1053" s="5" t="s">
        <v>56</v>
      </c>
      <c r="D1053" s="5" t="s">
        <v>57</v>
      </c>
      <c r="E1053" s="5" t="s">
        <v>70</v>
      </c>
      <c r="F1053" s="5" t="s">
        <v>71</v>
      </c>
      <c r="G1053" s="5" t="n">
        <v>1964</v>
      </c>
      <c r="H1053" s="12" t="n">
        <v>2.95</v>
      </c>
      <c r="I1053" s="12" t="n">
        <v>5793.8</v>
      </c>
      <c r="J1053" s="12" t="n">
        <v>2553.2</v>
      </c>
      <c r="K1053" s="12" t="n">
        <f aca="false">I1053-J1053</f>
        <v>3240.6</v>
      </c>
    </row>
    <row r="1054" customFormat="false" ht="15" hidden="false" customHeight="false" outlineLevel="0" collapsed="false">
      <c r="A1054" s="11" t="n">
        <v>46288</v>
      </c>
      <c r="B1054" s="5" t="s">
        <v>1137</v>
      </c>
      <c r="C1054" s="5" t="s">
        <v>63</v>
      </c>
      <c r="D1054" s="5" t="s">
        <v>64</v>
      </c>
      <c r="E1054" s="5" t="s">
        <v>58</v>
      </c>
      <c r="F1054" s="5" t="s">
        <v>96</v>
      </c>
      <c r="G1054" s="5" t="n">
        <v>11369</v>
      </c>
      <c r="H1054" s="12" t="n">
        <v>2.1</v>
      </c>
      <c r="I1054" s="12" t="n">
        <v>23874.9</v>
      </c>
      <c r="J1054" s="12" t="n">
        <v>10459.48</v>
      </c>
      <c r="K1054" s="12" t="n">
        <f aca="false">I1054-J1054</f>
        <v>13415.42</v>
      </c>
    </row>
    <row r="1055" customFormat="false" ht="15" hidden="false" customHeight="false" outlineLevel="0" collapsed="false">
      <c r="A1055" s="11" t="n">
        <v>46288</v>
      </c>
      <c r="B1055" s="5" t="s">
        <v>1138</v>
      </c>
      <c r="C1055" s="5" t="s">
        <v>85</v>
      </c>
      <c r="D1055" s="5" t="s">
        <v>69</v>
      </c>
      <c r="E1055" s="5" t="s">
        <v>58</v>
      </c>
      <c r="F1055" s="5" t="s">
        <v>59</v>
      </c>
      <c r="G1055" s="5" t="n">
        <v>1110</v>
      </c>
      <c r="H1055" s="12" t="n">
        <v>3.9</v>
      </c>
      <c r="I1055" s="12" t="n">
        <v>4329</v>
      </c>
      <c r="J1055" s="12" t="n">
        <v>1887</v>
      </c>
      <c r="K1055" s="12" t="n">
        <f aca="false">I1055-J1055</f>
        <v>2442</v>
      </c>
    </row>
    <row r="1056" customFormat="false" ht="15" hidden="false" customHeight="false" outlineLevel="0" collapsed="false">
      <c r="A1056" s="11" t="n">
        <v>46288</v>
      </c>
      <c r="B1056" s="5" t="s">
        <v>1139</v>
      </c>
      <c r="C1056" s="5" t="s">
        <v>94</v>
      </c>
      <c r="D1056" s="5" t="s">
        <v>95</v>
      </c>
      <c r="E1056" s="5" t="s">
        <v>65</v>
      </c>
      <c r="F1056" s="5" t="s">
        <v>88</v>
      </c>
      <c r="G1056" s="5" t="n">
        <v>287</v>
      </c>
      <c r="H1056" s="12" t="n">
        <v>11.5</v>
      </c>
      <c r="I1056" s="12" t="n">
        <v>3300.5</v>
      </c>
      <c r="J1056" s="12" t="n">
        <v>1463.7</v>
      </c>
      <c r="K1056" s="12" t="n">
        <f aca="false">I1056-J1056</f>
        <v>1836.8</v>
      </c>
    </row>
    <row r="1057" customFormat="false" ht="15" hidden="false" customHeight="false" outlineLevel="0" collapsed="false">
      <c r="A1057" s="11" t="n">
        <v>46288</v>
      </c>
      <c r="B1057" s="5" t="s">
        <v>1140</v>
      </c>
      <c r="C1057" s="5" t="s">
        <v>87</v>
      </c>
      <c r="D1057" s="5" t="s">
        <v>64</v>
      </c>
      <c r="E1057" s="5" t="s">
        <v>70</v>
      </c>
      <c r="F1057" s="5" t="s">
        <v>71</v>
      </c>
      <c r="G1057" s="5" t="n">
        <v>938</v>
      </c>
      <c r="H1057" s="12" t="n">
        <v>2.95</v>
      </c>
      <c r="I1057" s="12" t="n">
        <v>2767.1</v>
      </c>
      <c r="J1057" s="12" t="n">
        <v>1219.4</v>
      </c>
      <c r="K1057" s="12" t="n">
        <f aca="false">I1057-J1057</f>
        <v>1547.7</v>
      </c>
    </row>
    <row r="1058" customFormat="false" ht="15" hidden="false" customHeight="false" outlineLevel="0" collapsed="false">
      <c r="A1058" s="11" t="n">
        <v>46289</v>
      </c>
      <c r="B1058" s="5" t="s">
        <v>1141</v>
      </c>
      <c r="C1058" s="5" t="s">
        <v>81</v>
      </c>
      <c r="D1058" s="5" t="s">
        <v>64</v>
      </c>
      <c r="E1058" s="5" t="s">
        <v>75</v>
      </c>
      <c r="F1058" s="5" t="s">
        <v>78</v>
      </c>
      <c r="G1058" s="5" t="n">
        <v>384</v>
      </c>
      <c r="H1058" s="12" t="n">
        <v>6.1</v>
      </c>
      <c r="I1058" s="12" t="n">
        <v>2342.4</v>
      </c>
      <c r="J1058" s="12" t="n">
        <v>998.4</v>
      </c>
      <c r="K1058" s="12" t="n">
        <f aca="false">I1058-J1058</f>
        <v>1344</v>
      </c>
    </row>
    <row r="1059" customFormat="false" ht="15" hidden="false" customHeight="false" outlineLevel="0" collapsed="false">
      <c r="A1059" s="11" t="n">
        <v>46289</v>
      </c>
      <c r="B1059" s="5" t="s">
        <v>1142</v>
      </c>
      <c r="C1059" s="5" t="s">
        <v>87</v>
      </c>
      <c r="D1059" s="5" t="s">
        <v>64</v>
      </c>
      <c r="E1059" s="5" t="s">
        <v>75</v>
      </c>
      <c r="F1059" s="5" t="s">
        <v>78</v>
      </c>
      <c r="G1059" s="5" t="n">
        <v>197</v>
      </c>
      <c r="H1059" s="12" t="n">
        <v>6.1</v>
      </c>
      <c r="I1059" s="12" t="n">
        <v>1201.7</v>
      </c>
      <c r="J1059" s="12" t="n">
        <v>512.2</v>
      </c>
      <c r="K1059" s="12" t="n">
        <f aca="false">I1059-J1059</f>
        <v>689.5</v>
      </c>
    </row>
    <row r="1060" customFormat="false" ht="15" hidden="false" customHeight="false" outlineLevel="0" collapsed="false">
      <c r="A1060" s="11" t="n">
        <v>46289</v>
      </c>
      <c r="B1060" s="5" t="s">
        <v>1143</v>
      </c>
      <c r="C1060" s="5" t="s">
        <v>81</v>
      </c>
      <c r="D1060" s="5" t="s">
        <v>64</v>
      </c>
      <c r="E1060" s="5" t="s">
        <v>70</v>
      </c>
      <c r="F1060" s="5" t="s">
        <v>71</v>
      </c>
      <c r="G1060" s="5" t="n">
        <v>1992</v>
      </c>
      <c r="H1060" s="12" t="n">
        <v>2.95</v>
      </c>
      <c r="I1060" s="12" t="n">
        <v>5876.4</v>
      </c>
      <c r="J1060" s="12" t="n">
        <v>2589.6</v>
      </c>
      <c r="K1060" s="12" t="n">
        <f aca="false">I1060-J1060</f>
        <v>3286.8</v>
      </c>
    </row>
    <row r="1061" customFormat="false" ht="15" hidden="false" customHeight="false" outlineLevel="0" collapsed="false">
      <c r="A1061" s="11" t="n">
        <v>46289</v>
      </c>
      <c r="B1061" s="5" t="s">
        <v>1144</v>
      </c>
      <c r="C1061" s="5" t="s">
        <v>73</v>
      </c>
      <c r="D1061" s="5" t="s">
        <v>64</v>
      </c>
      <c r="E1061" s="5" t="s">
        <v>70</v>
      </c>
      <c r="F1061" s="5" t="s">
        <v>90</v>
      </c>
      <c r="G1061" s="5" t="n">
        <v>1029</v>
      </c>
      <c r="H1061" s="12" t="n">
        <v>2.59</v>
      </c>
      <c r="I1061" s="12" t="n">
        <v>2665.11</v>
      </c>
      <c r="J1061" s="12" t="n">
        <v>1234.8</v>
      </c>
      <c r="K1061" s="12" t="n">
        <f aca="false">I1061-J1061</f>
        <v>1430.31</v>
      </c>
    </row>
    <row r="1062" customFormat="false" ht="15" hidden="false" customHeight="false" outlineLevel="0" collapsed="false">
      <c r="A1062" s="11" t="n">
        <v>46290</v>
      </c>
      <c r="B1062" s="5" t="s">
        <v>1145</v>
      </c>
      <c r="C1062" s="5" t="s">
        <v>85</v>
      </c>
      <c r="D1062" s="5" t="s">
        <v>69</v>
      </c>
      <c r="E1062" s="5" t="s">
        <v>58</v>
      </c>
      <c r="F1062" s="5" t="s">
        <v>59</v>
      </c>
      <c r="G1062" s="5" t="n">
        <v>1110</v>
      </c>
      <c r="H1062" s="12" t="n">
        <v>3.9</v>
      </c>
      <c r="I1062" s="12" t="n">
        <v>4329</v>
      </c>
      <c r="J1062" s="12" t="n">
        <v>1887</v>
      </c>
      <c r="K1062" s="12" t="n">
        <f aca="false">I1062-J1062</f>
        <v>2442</v>
      </c>
    </row>
    <row r="1063" customFormat="false" ht="15" hidden="false" customHeight="false" outlineLevel="0" collapsed="false">
      <c r="A1063" s="11" t="n">
        <v>46290</v>
      </c>
      <c r="B1063" s="5" t="s">
        <v>1146</v>
      </c>
      <c r="C1063" s="5" t="s">
        <v>56</v>
      </c>
      <c r="D1063" s="5" t="s">
        <v>57</v>
      </c>
      <c r="E1063" s="5" t="s">
        <v>75</v>
      </c>
      <c r="F1063" s="5" t="s">
        <v>83</v>
      </c>
      <c r="G1063" s="5" t="n">
        <v>512</v>
      </c>
      <c r="H1063" s="12" t="n">
        <v>4.2</v>
      </c>
      <c r="I1063" s="12" t="n">
        <v>2150.4</v>
      </c>
      <c r="J1063" s="12" t="n">
        <v>947.2</v>
      </c>
      <c r="K1063" s="12" t="n">
        <f aca="false">I1063-J1063</f>
        <v>1203.2</v>
      </c>
    </row>
    <row r="1064" customFormat="false" ht="15" hidden="false" customHeight="false" outlineLevel="0" collapsed="false">
      <c r="A1064" s="11" t="n">
        <v>46290</v>
      </c>
      <c r="B1064" s="5" t="s">
        <v>1147</v>
      </c>
      <c r="C1064" s="5" t="s">
        <v>56</v>
      </c>
      <c r="D1064" s="5" t="s">
        <v>57</v>
      </c>
      <c r="E1064" s="5" t="s">
        <v>75</v>
      </c>
      <c r="F1064" s="5" t="s">
        <v>78</v>
      </c>
      <c r="G1064" s="5" t="n">
        <v>352</v>
      </c>
      <c r="H1064" s="12" t="n">
        <v>6.1</v>
      </c>
      <c r="I1064" s="12" t="n">
        <v>2147.2</v>
      </c>
      <c r="J1064" s="12" t="n">
        <v>915.2</v>
      </c>
      <c r="K1064" s="12" t="n">
        <f aca="false">I1064-J1064</f>
        <v>1232</v>
      </c>
    </row>
    <row r="1065" customFormat="false" ht="15" hidden="false" customHeight="false" outlineLevel="0" collapsed="false">
      <c r="A1065" s="11" t="n">
        <v>46290</v>
      </c>
      <c r="B1065" s="5" t="s">
        <v>1148</v>
      </c>
      <c r="C1065" s="5" t="s">
        <v>115</v>
      </c>
      <c r="D1065" s="5" t="s">
        <v>69</v>
      </c>
      <c r="E1065" s="5" t="s">
        <v>65</v>
      </c>
      <c r="F1065" s="5" t="s">
        <v>66</v>
      </c>
      <c r="G1065" s="5" t="n">
        <v>130</v>
      </c>
      <c r="H1065" s="12" t="n">
        <v>24.9</v>
      </c>
      <c r="I1065" s="12" t="n">
        <v>3237</v>
      </c>
      <c r="J1065" s="12" t="n">
        <v>1482</v>
      </c>
      <c r="K1065" s="12" t="n">
        <f aca="false">I1065-J1065</f>
        <v>1755</v>
      </c>
    </row>
    <row r="1066" customFormat="false" ht="15" hidden="false" customHeight="false" outlineLevel="0" collapsed="false">
      <c r="A1066" s="11" t="n">
        <v>46290</v>
      </c>
      <c r="B1066" s="5" t="s">
        <v>1149</v>
      </c>
      <c r="C1066" s="5" t="s">
        <v>56</v>
      </c>
      <c r="D1066" s="5" t="s">
        <v>57</v>
      </c>
      <c r="E1066" s="5" t="s">
        <v>65</v>
      </c>
      <c r="F1066" s="5" t="s">
        <v>88</v>
      </c>
      <c r="G1066" s="5" t="n">
        <v>346</v>
      </c>
      <c r="H1066" s="12" t="n">
        <v>11.5</v>
      </c>
      <c r="I1066" s="12" t="n">
        <v>3979</v>
      </c>
      <c r="J1066" s="12" t="n">
        <v>1764.6</v>
      </c>
      <c r="K1066" s="12" t="n">
        <f aca="false">I1066-J1066</f>
        <v>2214.4</v>
      </c>
    </row>
    <row r="1067" customFormat="false" ht="15" hidden="false" customHeight="false" outlineLevel="0" collapsed="false">
      <c r="A1067" s="11" t="n">
        <v>46290</v>
      </c>
      <c r="B1067" s="5" t="s">
        <v>1150</v>
      </c>
      <c r="C1067" s="5" t="s">
        <v>94</v>
      </c>
      <c r="D1067" s="5" t="s">
        <v>95</v>
      </c>
      <c r="E1067" s="5" t="s">
        <v>70</v>
      </c>
      <c r="F1067" s="5" t="s">
        <v>90</v>
      </c>
      <c r="G1067" s="5" t="n">
        <v>956</v>
      </c>
      <c r="H1067" s="12" t="n">
        <v>2.7</v>
      </c>
      <c r="I1067" s="12" t="n">
        <v>2581.2</v>
      </c>
      <c r="J1067" s="12" t="n">
        <v>1147.2</v>
      </c>
      <c r="K1067" s="12" t="n">
        <f aca="false">I1067-J1067</f>
        <v>1434</v>
      </c>
    </row>
    <row r="1068" customFormat="false" ht="15" hidden="false" customHeight="false" outlineLevel="0" collapsed="false">
      <c r="A1068" s="11" t="n">
        <v>46291</v>
      </c>
      <c r="B1068" s="5" t="s">
        <v>1151</v>
      </c>
      <c r="C1068" s="5" t="s">
        <v>73</v>
      </c>
      <c r="D1068" s="5" t="s">
        <v>64</v>
      </c>
      <c r="E1068" s="5" t="s">
        <v>65</v>
      </c>
      <c r="F1068" s="5" t="s">
        <v>103</v>
      </c>
      <c r="G1068" s="5" t="n">
        <v>351</v>
      </c>
      <c r="H1068" s="12" t="n">
        <v>14.59</v>
      </c>
      <c r="I1068" s="12" t="n">
        <v>5121.09</v>
      </c>
      <c r="J1068" s="12" t="n">
        <v>2386.8</v>
      </c>
      <c r="K1068" s="12" t="n">
        <f aca="false">I1068-J1068</f>
        <v>2734.29</v>
      </c>
    </row>
    <row r="1069" customFormat="false" ht="15" hidden="false" customHeight="false" outlineLevel="0" collapsed="false">
      <c r="A1069" s="11" t="n">
        <v>46291</v>
      </c>
      <c r="B1069" s="5" t="s">
        <v>1152</v>
      </c>
      <c r="C1069" s="5" t="s">
        <v>56</v>
      </c>
      <c r="D1069" s="5" t="s">
        <v>57</v>
      </c>
      <c r="E1069" s="5" t="s">
        <v>65</v>
      </c>
      <c r="F1069" s="5" t="s">
        <v>103</v>
      </c>
      <c r="G1069" s="5" t="n">
        <v>262</v>
      </c>
      <c r="H1069" s="12" t="n">
        <v>15.2</v>
      </c>
      <c r="I1069" s="12" t="n">
        <v>3982.4</v>
      </c>
      <c r="J1069" s="12" t="n">
        <v>1781.6</v>
      </c>
      <c r="K1069" s="12" t="n">
        <f aca="false">I1069-J1069</f>
        <v>2200.8</v>
      </c>
    </row>
    <row r="1070" customFormat="false" ht="15" hidden="false" customHeight="false" outlineLevel="0" collapsed="false">
      <c r="A1070" s="11" t="n">
        <v>46292</v>
      </c>
      <c r="B1070" s="5" t="s">
        <v>1153</v>
      </c>
      <c r="C1070" s="5" t="s">
        <v>115</v>
      </c>
      <c r="D1070" s="5" t="s">
        <v>69</v>
      </c>
      <c r="E1070" s="5" t="s">
        <v>58</v>
      </c>
      <c r="F1070" s="5" t="s">
        <v>59</v>
      </c>
      <c r="G1070" s="5" t="n">
        <v>1522</v>
      </c>
      <c r="H1070" s="12" t="n">
        <v>3.9</v>
      </c>
      <c r="I1070" s="12" t="n">
        <v>5935.8</v>
      </c>
      <c r="J1070" s="12" t="n">
        <v>2587.4</v>
      </c>
      <c r="K1070" s="12" t="n">
        <f aca="false">I1070-J1070</f>
        <v>3348.4</v>
      </c>
    </row>
    <row r="1071" customFormat="false" ht="15" hidden="false" customHeight="false" outlineLevel="0" collapsed="false">
      <c r="A1071" s="11" t="n">
        <v>46292</v>
      </c>
      <c r="B1071" s="5" t="s">
        <v>1154</v>
      </c>
      <c r="C1071" s="5" t="s">
        <v>115</v>
      </c>
      <c r="D1071" s="5" t="s">
        <v>69</v>
      </c>
      <c r="E1071" s="5" t="s">
        <v>58</v>
      </c>
      <c r="F1071" s="5" t="s">
        <v>96</v>
      </c>
      <c r="G1071" s="5" t="n">
        <v>2827</v>
      </c>
      <c r="H1071" s="12" t="n">
        <v>2.1</v>
      </c>
      <c r="I1071" s="12" t="n">
        <v>5936.7</v>
      </c>
      <c r="J1071" s="12" t="n">
        <v>2600.84</v>
      </c>
      <c r="K1071" s="12" t="n">
        <f aca="false">I1071-J1071</f>
        <v>3335.86</v>
      </c>
    </row>
    <row r="1072" customFormat="false" ht="15" hidden="false" customHeight="false" outlineLevel="0" collapsed="false">
      <c r="A1072" s="11" t="n">
        <v>46292</v>
      </c>
      <c r="B1072" s="5" t="s">
        <v>1155</v>
      </c>
      <c r="C1072" s="5" t="s">
        <v>56</v>
      </c>
      <c r="D1072" s="5" t="s">
        <v>57</v>
      </c>
      <c r="E1072" s="5" t="s">
        <v>58</v>
      </c>
      <c r="F1072" s="5" t="s">
        <v>117</v>
      </c>
      <c r="G1072" s="5" t="n">
        <v>5077</v>
      </c>
      <c r="H1072" s="12" t="n">
        <v>3.4</v>
      </c>
      <c r="I1072" s="12" t="n">
        <v>17261.8</v>
      </c>
      <c r="J1072" s="12" t="n">
        <v>7361.65</v>
      </c>
      <c r="K1072" s="12" t="n">
        <f aca="false">I1072-J1072</f>
        <v>9900.15</v>
      </c>
    </row>
    <row r="1073" customFormat="false" ht="15" hidden="false" customHeight="false" outlineLevel="0" collapsed="false">
      <c r="A1073" s="11" t="n">
        <v>46292</v>
      </c>
      <c r="B1073" s="5" t="s">
        <v>1156</v>
      </c>
      <c r="C1073" s="5" t="s">
        <v>81</v>
      </c>
      <c r="D1073" s="5" t="s">
        <v>64</v>
      </c>
      <c r="E1073" s="5" t="s">
        <v>75</v>
      </c>
      <c r="F1073" s="5" t="s">
        <v>78</v>
      </c>
      <c r="G1073" s="5" t="n">
        <v>384</v>
      </c>
      <c r="H1073" s="12" t="n">
        <v>6.1</v>
      </c>
      <c r="I1073" s="12" t="n">
        <v>2342.4</v>
      </c>
      <c r="J1073" s="12" t="n">
        <v>998.4</v>
      </c>
      <c r="K1073" s="12" t="n">
        <f aca="false">I1073-J1073</f>
        <v>1344</v>
      </c>
    </row>
    <row r="1074" customFormat="false" ht="15" hidden="false" customHeight="false" outlineLevel="0" collapsed="false">
      <c r="A1074" s="11" t="n">
        <v>46292</v>
      </c>
      <c r="B1074" s="5" t="s">
        <v>1157</v>
      </c>
      <c r="C1074" s="5" t="s">
        <v>85</v>
      </c>
      <c r="D1074" s="5" t="s">
        <v>69</v>
      </c>
      <c r="E1074" s="5" t="s">
        <v>75</v>
      </c>
      <c r="F1074" s="5" t="s">
        <v>76</v>
      </c>
      <c r="G1074" s="5" t="n">
        <v>235</v>
      </c>
      <c r="H1074" s="12" t="n">
        <v>4.8</v>
      </c>
      <c r="I1074" s="12" t="n">
        <v>1128</v>
      </c>
      <c r="J1074" s="12" t="n">
        <v>481.75</v>
      </c>
      <c r="K1074" s="12" t="n">
        <f aca="false">I1074-J1074</f>
        <v>646.25</v>
      </c>
    </row>
    <row r="1075" customFormat="false" ht="15" hidden="false" customHeight="false" outlineLevel="0" collapsed="false">
      <c r="A1075" s="11" t="n">
        <v>46292</v>
      </c>
      <c r="B1075" s="5" t="s">
        <v>1158</v>
      </c>
      <c r="C1075" s="5" t="s">
        <v>99</v>
      </c>
      <c r="D1075" s="5" t="s">
        <v>69</v>
      </c>
      <c r="E1075" s="5" t="s">
        <v>65</v>
      </c>
      <c r="F1075" s="5" t="s">
        <v>66</v>
      </c>
      <c r="G1075" s="5" t="n">
        <v>283</v>
      </c>
      <c r="H1075" s="12" t="n">
        <v>23.9</v>
      </c>
      <c r="I1075" s="12" t="n">
        <v>6763.7</v>
      </c>
      <c r="J1075" s="12" t="n">
        <v>3226.2</v>
      </c>
      <c r="K1075" s="12" t="n">
        <f aca="false">I1075-J1075</f>
        <v>3537.5</v>
      </c>
    </row>
    <row r="1076" customFormat="false" ht="15" hidden="false" customHeight="false" outlineLevel="0" collapsed="false">
      <c r="A1076" s="11" t="n">
        <v>46292</v>
      </c>
      <c r="B1076" s="5" t="s">
        <v>1159</v>
      </c>
      <c r="C1076" s="5" t="s">
        <v>63</v>
      </c>
      <c r="D1076" s="5" t="s">
        <v>64</v>
      </c>
      <c r="E1076" s="5" t="s">
        <v>65</v>
      </c>
      <c r="F1076" s="5" t="s">
        <v>88</v>
      </c>
      <c r="G1076" s="5" t="n">
        <v>829</v>
      </c>
      <c r="H1076" s="12" t="n">
        <v>11.5</v>
      </c>
      <c r="I1076" s="12" t="n">
        <v>9533.5</v>
      </c>
      <c r="J1076" s="12" t="n">
        <v>4227.9</v>
      </c>
      <c r="K1076" s="12" t="n">
        <f aca="false">I1076-J1076</f>
        <v>5305.6</v>
      </c>
    </row>
    <row r="1077" customFormat="false" ht="15" hidden="false" customHeight="false" outlineLevel="0" collapsed="false">
      <c r="A1077" s="11" t="n">
        <v>46293</v>
      </c>
      <c r="B1077" s="5" t="s">
        <v>1160</v>
      </c>
      <c r="C1077" s="5" t="s">
        <v>94</v>
      </c>
      <c r="D1077" s="5" t="s">
        <v>95</v>
      </c>
      <c r="E1077" s="5" t="s">
        <v>75</v>
      </c>
      <c r="F1077" s="5" t="s">
        <v>76</v>
      </c>
      <c r="G1077" s="5" t="n">
        <v>646</v>
      </c>
      <c r="H1077" s="12" t="n">
        <v>4.8</v>
      </c>
      <c r="I1077" s="12" t="n">
        <v>3100.8</v>
      </c>
      <c r="J1077" s="12" t="n">
        <v>1324.3</v>
      </c>
      <c r="K1077" s="12" t="n">
        <f aca="false">I1077-J1077</f>
        <v>1776.5</v>
      </c>
    </row>
    <row r="1078" customFormat="false" ht="15" hidden="false" customHeight="false" outlineLevel="0" collapsed="false">
      <c r="A1078" s="11" t="n">
        <v>46293</v>
      </c>
      <c r="B1078" s="5" t="s">
        <v>1161</v>
      </c>
      <c r="C1078" s="5" t="s">
        <v>115</v>
      </c>
      <c r="D1078" s="5" t="s">
        <v>69</v>
      </c>
      <c r="E1078" s="5" t="s">
        <v>75</v>
      </c>
      <c r="F1078" s="5" t="s">
        <v>78</v>
      </c>
      <c r="G1078" s="5" t="n">
        <v>396</v>
      </c>
      <c r="H1078" s="12" t="n">
        <v>6.1</v>
      </c>
      <c r="I1078" s="12" t="n">
        <v>2415.6</v>
      </c>
      <c r="J1078" s="12" t="n">
        <v>1029.6</v>
      </c>
      <c r="K1078" s="12" t="n">
        <f aca="false">I1078-J1078</f>
        <v>1386</v>
      </c>
    </row>
    <row r="1079" customFormat="false" ht="15" hidden="false" customHeight="false" outlineLevel="0" collapsed="false">
      <c r="A1079" s="11" t="n">
        <v>46293</v>
      </c>
      <c r="B1079" s="5" t="s">
        <v>1162</v>
      </c>
      <c r="C1079" s="5" t="s">
        <v>68</v>
      </c>
      <c r="D1079" s="5" t="s">
        <v>69</v>
      </c>
      <c r="E1079" s="5" t="s">
        <v>75</v>
      </c>
      <c r="F1079" s="5" t="s">
        <v>83</v>
      </c>
      <c r="G1079" s="5" t="n">
        <v>198</v>
      </c>
      <c r="H1079" s="12" t="n">
        <v>4.2</v>
      </c>
      <c r="I1079" s="12" t="n">
        <v>831.6</v>
      </c>
      <c r="J1079" s="12" t="n">
        <v>366.3</v>
      </c>
      <c r="K1079" s="12" t="n">
        <f aca="false">I1079-J1079</f>
        <v>465.3</v>
      </c>
    </row>
    <row r="1080" customFormat="false" ht="15" hidden="false" customHeight="false" outlineLevel="0" collapsed="false">
      <c r="A1080" s="11" t="n">
        <v>46293</v>
      </c>
      <c r="B1080" s="5" t="s">
        <v>1163</v>
      </c>
      <c r="C1080" s="5" t="s">
        <v>73</v>
      </c>
      <c r="D1080" s="5" t="s">
        <v>64</v>
      </c>
      <c r="E1080" s="5" t="s">
        <v>65</v>
      </c>
      <c r="F1080" s="5" t="s">
        <v>66</v>
      </c>
      <c r="G1080" s="5" t="n">
        <v>214</v>
      </c>
      <c r="H1080" s="12" t="n">
        <v>23.9</v>
      </c>
      <c r="I1080" s="12" t="n">
        <v>5114.6</v>
      </c>
      <c r="J1080" s="12" t="n">
        <v>2439.6</v>
      </c>
      <c r="K1080" s="12" t="n">
        <f aca="false">I1080-J1080</f>
        <v>2675</v>
      </c>
    </row>
  </sheetData>
  <autoFilter ref="A1:K10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9.55" hidden="false" customHeight="false" outlineLevel="0" collapsed="false">
      <c r="A1" s="4" t="s">
        <v>45</v>
      </c>
      <c r="B1" s="4" t="s">
        <v>46</v>
      </c>
      <c r="C1" s="4" t="s">
        <v>1164</v>
      </c>
      <c r="D1" s="4" t="s">
        <v>1165</v>
      </c>
      <c r="E1" s="4" t="s">
        <v>1166</v>
      </c>
      <c r="F1" s="4" t="s">
        <v>1167</v>
      </c>
      <c r="G1" s="4" t="s">
        <v>1168</v>
      </c>
    </row>
    <row r="2" customFormat="false" ht="15" hidden="false" customHeight="false" outlineLevel="0" collapsed="false">
      <c r="A2" s="5" t="s">
        <v>572</v>
      </c>
      <c r="B2" s="5" t="s">
        <v>68</v>
      </c>
      <c r="C2" s="11" t="n">
        <v>46144</v>
      </c>
      <c r="D2" s="11" t="n">
        <v>46174</v>
      </c>
      <c r="E2" s="12" t="n">
        <v>4153.32</v>
      </c>
      <c r="F2" s="5" t="n">
        <f aca="false">MAX(0,DATE(2026,9,30)-D2)</f>
        <v>121</v>
      </c>
      <c r="G2" s="5" t="str">
        <f aca="false">IF(F2=0,"Non échu",IF(F2&lt;=30,"1-30 j",IF(F2&lt;=60,"31-60 j",IF(F2&lt;=90,"61-90 j","&gt; 90 j"))))</f>
        <v>&gt; 90 j</v>
      </c>
    </row>
    <row r="3" customFormat="false" ht="15" hidden="false" customHeight="false" outlineLevel="0" collapsed="false">
      <c r="A3" s="5" t="s">
        <v>578</v>
      </c>
      <c r="B3" s="5" t="s">
        <v>115</v>
      </c>
      <c r="C3" s="11" t="n">
        <v>46145</v>
      </c>
      <c r="D3" s="11" t="n">
        <v>46205</v>
      </c>
      <c r="E3" s="12" t="n">
        <v>2635.81</v>
      </c>
      <c r="F3" s="5" t="n">
        <f aca="false">MAX(0,DATE(2026,9,30)-D3)</f>
        <v>90</v>
      </c>
      <c r="G3" s="5" t="str">
        <f aca="false">IF(F3=0,"Non échu",IF(F3&lt;=30,"1-30 j",IF(F3&lt;=60,"31-60 j",IF(F3&lt;=90,"61-90 j","&gt; 90 j"))))</f>
        <v>61-90 j</v>
      </c>
    </row>
    <row r="4" customFormat="false" ht="15" hidden="false" customHeight="false" outlineLevel="0" collapsed="false">
      <c r="A4" s="5" t="s">
        <v>580</v>
      </c>
      <c r="B4" s="5" t="s">
        <v>94</v>
      </c>
      <c r="C4" s="11" t="n">
        <v>46147</v>
      </c>
      <c r="D4" s="11" t="n">
        <v>46192</v>
      </c>
      <c r="E4" s="12" t="n">
        <v>1564.14</v>
      </c>
      <c r="F4" s="5" t="n">
        <f aca="false">MAX(0,DATE(2026,9,30)-D4)</f>
        <v>103</v>
      </c>
      <c r="G4" s="5" t="str">
        <f aca="false">IF(F4=0,"Non échu",IF(F4&lt;=30,"1-30 j",IF(F4&lt;=60,"31-60 j",IF(F4&lt;=90,"61-90 j","&gt; 90 j"))))</f>
        <v>&gt; 90 j</v>
      </c>
    </row>
    <row r="5" customFormat="false" ht="15" hidden="false" customHeight="false" outlineLevel="0" collapsed="false">
      <c r="A5" s="5" t="s">
        <v>582</v>
      </c>
      <c r="B5" s="5" t="s">
        <v>81</v>
      </c>
      <c r="C5" s="11" t="n">
        <v>46148</v>
      </c>
      <c r="D5" s="11" t="n">
        <v>46193</v>
      </c>
      <c r="E5" s="12" t="n">
        <v>26913.89</v>
      </c>
      <c r="F5" s="5" t="n">
        <f aca="false">MAX(0,DATE(2026,9,30)-D5)</f>
        <v>102</v>
      </c>
      <c r="G5" s="5" t="str">
        <f aca="false">IF(F5=0,"Non échu",IF(F5&lt;=30,"1-30 j",IF(F5&lt;=60,"31-60 j",IF(F5&lt;=90,"61-90 j","&gt; 90 j"))))</f>
        <v>&gt; 90 j</v>
      </c>
    </row>
    <row r="6" customFormat="false" ht="15" hidden="false" customHeight="false" outlineLevel="0" collapsed="false">
      <c r="A6" s="5" t="s">
        <v>585</v>
      </c>
      <c r="B6" s="5" t="s">
        <v>85</v>
      </c>
      <c r="C6" s="11" t="n">
        <v>46148</v>
      </c>
      <c r="D6" s="11" t="n">
        <v>46178</v>
      </c>
      <c r="E6" s="12" t="n">
        <v>353.95</v>
      </c>
      <c r="F6" s="5" t="n">
        <f aca="false">MAX(0,DATE(2026,9,30)-D6)</f>
        <v>117</v>
      </c>
      <c r="G6" s="5" t="str">
        <f aca="false">IF(F6=0,"Non échu",IF(F6&lt;=30,"1-30 j",IF(F6&lt;=60,"31-60 j",IF(F6&lt;=90,"61-90 j","&gt; 90 j"))))</f>
        <v>&gt; 90 j</v>
      </c>
    </row>
    <row r="7" customFormat="false" ht="15" hidden="false" customHeight="false" outlineLevel="0" collapsed="false">
      <c r="A7" s="5" t="s">
        <v>588</v>
      </c>
      <c r="B7" s="5" t="s">
        <v>73</v>
      </c>
      <c r="C7" s="11" t="n">
        <v>46149</v>
      </c>
      <c r="D7" s="11" t="n">
        <v>46179</v>
      </c>
      <c r="E7" s="12" t="n">
        <v>901.35</v>
      </c>
      <c r="F7" s="5" t="n">
        <f aca="false">MAX(0,DATE(2026,9,30)-D7)</f>
        <v>116</v>
      </c>
      <c r="G7" s="5" t="str">
        <f aca="false">IF(F7=0,"Non échu",IF(F7&lt;=30,"1-30 j",IF(F7&lt;=60,"31-60 j",IF(F7&lt;=90,"61-90 j","&gt; 90 j"))))</f>
        <v>&gt; 90 j</v>
      </c>
    </row>
    <row r="8" customFormat="false" ht="15" hidden="false" customHeight="false" outlineLevel="0" collapsed="false">
      <c r="A8" s="5" t="s">
        <v>590</v>
      </c>
      <c r="B8" s="5" t="s">
        <v>115</v>
      </c>
      <c r="C8" s="11" t="n">
        <v>46149</v>
      </c>
      <c r="D8" s="11" t="n">
        <v>46209</v>
      </c>
      <c r="E8" s="12" t="n">
        <v>3450</v>
      </c>
      <c r="F8" s="5" t="n">
        <f aca="false">MAX(0,DATE(2026,9,30)-D8)</f>
        <v>86</v>
      </c>
      <c r="G8" s="5" t="str">
        <f aca="false">IF(F8=0,"Non échu",IF(F8&lt;=30,"1-30 j",IF(F8&lt;=60,"31-60 j",IF(F8&lt;=90,"61-90 j","&gt; 90 j"))))</f>
        <v>61-90 j</v>
      </c>
    </row>
    <row r="9" customFormat="false" ht="15" hidden="false" customHeight="false" outlineLevel="0" collapsed="false">
      <c r="A9" s="5" t="s">
        <v>592</v>
      </c>
      <c r="B9" s="5" t="s">
        <v>115</v>
      </c>
      <c r="C9" s="11" t="n">
        <v>46150</v>
      </c>
      <c r="D9" s="11" t="n">
        <v>46210</v>
      </c>
      <c r="E9" s="12" t="n">
        <v>1184.13</v>
      </c>
      <c r="F9" s="5" t="n">
        <f aca="false">MAX(0,DATE(2026,9,30)-D9)</f>
        <v>85</v>
      </c>
      <c r="G9" s="5" t="str">
        <f aca="false">IF(F9=0,"Non échu",IF(F9&lt;=30,"1-30 j",IF(F9&lt;=60,"31-60 j",IF(F9&lt;=90,"61-90 j","&gt; 90 j"))))</f>
        <v>61-90 j</v>
      </c>
    </row>
    <row r="10" customFormat="false" ht="15" hidden="false" customHeight="false" outlineLevel="0" collapsed="false">
      <c r="A10" s="5" t="s">
        <v>594</v>
      </c>
      <c r="B10" s="5" t="s">
        <v>56</v>
      </c>
      <c r="C10" s="11" t="n">
        <v>46150</v>
      </c>
      <c r="D10" s="11" t="n">
        <v>46210</v>
      </c>
      <c r="E10" s="12" t="n">
        <v>1073.57</v>
      </c>
      <c r="F10" s="5" t="n">
        <f aca="false">MAX(0,DATE(2026,9,30)-D10)</f>
        <v>85</v>
      </c>
      <c r="G10" s="5" t="str">
        <f aca="false">IF(F10=0,"Non échu",IF(F10&lt;=30,"1-30 j",IF(F10&lt;=60,"31-60 j",IF(F10&lt;=90,"61-90 j","&gt; 90 j"))))</f>
        <v>61-90 j</v>
      </c>
    </row>
    <row r="11" customFormat="false" ht="15" hidden="false" customHeight="false" outlineLevel="0" collapsed="false">
      <c r="A11" s="5" t="s">
        <v>596</v>
      </c>
      <c r="B11" s="5" t="s">
        <v>115</v>
      </c>
      <c r="C11" s="11" t="n">
        <v>46151</v>
      </c>
      <c r="D11" s="11" t="n">
        <v>46211</v>
      </c>
      <c r="E11" s="12" t="n">
        <v>9559.88</v>
      </c>
      <c r="F11" s="5" t="n">
        <f aca="false">MAX(0,DATE(2026,9,30)-D11)</f>
        <v>84</v>
      </c>
      <c r="G11" s="5" t="str">
        <f aca="false">IF(F11=0,"Non échu",IF(F11&lt;=30,"1-30 j",IF(F11&lt;=60,"31-60 j",IF(F11&lt;=90,"61-90 j","&gt; 90 j"))))</f>
        <v>61-90 j</v>
      </c>
    </row>
    <row r="12" customFormat="false" ht="15" hidden="false" customHeight="false" outlineLevel="0" collapsed="false">
      <c r="A12" s="5" t="s">
        <v>602</v>
      </c>
      <c r="B12" s="5" t="s">
        <v>115</v>
      </c>
      <c r="C12" s="11" t="n">
        <v>46152</v>
      </c>
      <c r="D12" s="11" t="n">
        <v>46212</v>
      </c>
      <c r="E12" s="12" t="n">
        <v>3447.36</v>
      </c>
      <c r="F12" s="5" t="n">
        <f aca="false">MAX(0,DATE(2026,9,30)-D12)</f>
        <v>83</v>
      </c>
      <c r="G12" s="5" t="str">
        <f aca="false">IF(F12=0,"Non échu",IF(F12&lt;=30,"1-30 j",IF(F12&lt;=60,"31-60 j",IF(F12&lt;=90,"61-90 j","&gt; 90 j"))))</f>
        <v>61-90 j</v>
      </c>
    </row>
    <row r="13" customFormat="false" ht="15" hidden="false" customHeight="false" outlineLevel="0" collapsed="false">
      <c r="A13" s="5" t="s">
        <v>604</v>
      </c>
      <c r="B13" s="5" t="s">
        <v>56</v>
      </c>
      <c r="C13" s="11" t="n">
        <v>46152</v>
      </c>
      <c r="D13" s="11" t="n">
        <v>46212</v>
      </c>
      <c r="E13" s="12" t="n">
        <v>4799.09</v>
      </c>
      <c r="F13" s="5" t="n">
        <f aca="false">MAX(0,DATE(2026,9,30)-D13)</f>
        <v>83</v>
      </c>
      <c r="G13" s="5" t="str">
        <f aca="false">IF(F13=0,"Non échu",IF(F13&lt;=30,"1-30 j",IF(F13&lt;=60,"31-60 j",IF(F13&lt;=90,"61-90 j","&gt; 90 j"))))</f>
        <v>61-90 j</v>
      </c>
    </row>
    <row r="14" customFormat="false" ht="15" hidden="false" customHeight="false" outlineLevel="0" collapsed="false">
      <c r="A14" s="5" t="s">
        <v>609</v>
      </c>
      <c r="B14" s="5" t="s">
        <v>115</v>
      </c>
      <c r="C14" s="11" t="n">
        <v>46153</v>
      </c>
      <c r="D14" s="11" t="n">
        <v>46213</v>
      </c>
      <c r="E14" s="12" t="n">
        <v>3447.36</v>
      </c>
      <c r="F14" s="5" t="n">
        <f aca="false">MAX(0,DATE(2026,9,30)-D14)</f>
        <v>82</v>
      </c>
      <c r="G14" s="5" t="str">
        <f aca="false">IF(F14=0,"Non échu",IF(F14&lt;=30,"1-30 j",IF(F14&lt;=60,"31-60 j",IF(F14&lt;=90,"61-90 j","&gt; 90 j"))))</f>
        <v>61-90 j</v>
      </c>
    </row>
    <row r="15" customFormat="false" ht="15" hidden="false" customHeight="false" outlineLevel="0" collapsed="false">
      <c r="A15" s="5" t="s">
        <v>614</v>
      </c>
      <c r="B15" s="5" t="s">
        <v>56</v>
      </c>
      <c r="C15" s="11" t="n">
        <v>46154</v>
      </c>
      <c r="D15" s="11" t="n">
        <v>46214</v>
      </c>
      <c r="E15" s="12" t="n">
        <v>4799.72</v>
      </c>
      <c r="F15" s="5" t="n">
        <f aca="false">MAX(0,DATE(2026,9,30)-D15)</f>
        <v>81</v>
      </c>
      <c r="G15" s="5" t="str">
        <f aca="false">IF(F15=0,"Non échu",IF(F15&lt;=30,"1-30 j",IF(F15&lt;=60,"31-60 j",IF(F15&lt;=90,"61-90 j","&gt; 90 j"))))</f>
        <v>61-90 j</v>
      </c>
    </row>
    <row r="16" customFormat="false" ht="15" hidden="false" customHeight="false" outlineLevel="0" collapsed="false">
      <c r="A16" s="5" t="s">
        <v>617</v>
      </c>
      <c r="B16" s="5" t="s">
        <v>56</v>
      </c>
      <c r="C16" s="11" t="n">
        <v>46155</v>
      </c>
      <c r="D16" s="11" t="n">
        <v>46215</v>
      </c>
      <c r="E16" s="12" t="n">
        <v>7854.58</v>
      </c>
      <c r="F16" s="5" t="n">
        <f aca="false">MAX(0,DATE(2026,9,30)-D16)</f>
        <v>80</v>
      </c>
      <c r="G16" s="5" t="str">
        <f aca="false">IF(F16=0,"Non échu",IF(F16&lt;=30,"1-30 j",IF(F16&lt;=60,"31-60 j",IF(F16&lt;=90,"61-90 j","&gt; 90 j"))))</f>
        <v>61-90 j</v>
      </c>
    </row>
    <row r="17" customFormat="false" ht="15" hidden="false" customHeight="false" outlineLevel="0" collapsed="false">
      <c r="A17" s="5" t="s">
        <v>620</v>
      </c>
      <c r="B17" s="5" t="s">
        <v>99</v>
      </c>
      <c r="C17" s="11" t="n">
        <v>46155</v>
      </c>
      <c r="D17" s="11" t="n">
        <v>46185</v>
      </c>
      <c r="E17" s="12" t="n">
        <v>3915.6</v>
      </c>
      <c r="F17" s="5" t="n">
        <f aca="false">MAX(0,DATE(2026,9,30)-D17)</f>
        <v>110</v>
      </c>
      <c r="G17" s="5" t="str">
        <f aca="false">IF(F17=0,"Non échu",IF(F17&lt;=30,"1-30 j",IF(F17&lt;=60,"31-60 j",IF(F17&lt;=90,"61-90 j","&gt; 90 j"))))</f>
        <v>&gt; 90 j</v>
      </c>
    </row>
    <row r="18" customFormat="false" ht="15" hidden="false" customHeight="false" outlineLevel="0" collapsed="false">
      <c r="A18" s="5" t="s">
        <v>626</v>
      </c>
      <c r="B18" s="5" t="s">
        <v>115</v>
      </c>
      <c r="C18" s="11" t="n">
        <v>46156</v>
      </c>
      <c r="D18" s="11" t="n">
        <v>46216</v>
      </c>
      <c r="E18" s="12" t="n">
        <v>2636.08</v>
      </c>
      <c r="F18" s="5" t="n">
        <f aca="false">MAX(0,DATE(2026,9,30)-D18)</f>
        <v>79</v>
      </c>
      <c r="G18" s="5" t="str">
        <f aca="false">IF(F18=0,"Non échu",IF(F18&lt;=30,"1-30 j",IF(F18&lt;=60,"31-60 j",IF(F18&lt;=90,"61-90 j","&gt; 90 j"))))</f>
        <v>61-90 j</v>
      </c>
    </row>
    <row r="19" customFormat="false" ht="15" hidden="false" customHeight="false" outlineLevel="0" collapsed="false">
      <c r="A19" s="5" t="s">
        <v>629</v>
      </c>
      <c r="B19" s="5" t="s">
        <v>56</v>
      </c>
      <c r="C19" s="11" t="n">
        <v>46158</v>
      </c>
      <c r="D19" s="11" t="n">
        <v>46218</v>
      </c>
      <c r="E19" s="12" t="n">
        <v>7831.79</v>
      </c>
      <c r="F19" s="5" t="n">
        <f aca="false">MAX(0,DATE(2026,9,30)-D19)</f>
        <v>77</v>
      </c>
      <c r="G19" s="5" t="str">
        <f aca="false">IF(F19=0,"Non échu",IF(F19&lt;=30,"1-30 j",IF(F19&lt;=60,"31-60 j",IF(F19&lt;=90,"61-90 j","&gt; 90 j"))))</f>
        <v>61-90 j</v>
      </c>
    </row>
    <row r="20" customFormat="false" ht="15" hidden="false" customHeight="false" outlineLevel="0" collapsed="false">
      <c r="A20" s="5" t="s">
        <v>633</v>
      </c>
      <c r="B20" s="5" t="s">
        <v>94</v>
      </c>
      <c r="C20" s="11" t="n">
        <v>46158</v>
      </c>
      <c r="D20" s="11" t="n">
        <v>46203</v>
      </c>
      <c r="E20" s="12" t="n">
        <v>3167.28</v>
      </c>
      <c r="F20" s="5" t="n">
        <f aca="false">MAX(0,DATE(2026,9,30)-D20)</f>
        <v>92</v>
      </c>
      <c r="G20" s="5" t="str">
        <f aca="false">IF(F20=0,"Non échu",IF(F20&lt;=30,"1-30 j",IF(F20&lt;=60,"31-60 j",IF(F20&lt;=90,"61-90 j","&gt; 90 j"))))</f>
        <v>&gt; 90 j</v>
      </c>
    </row>
    <row r="21" customFormat="false" ht="15" hidden="false" customHeight="false" outlineLevel="0" collapsed="false">
      <c r="A21" s="5" t="s">
        <v>641</v>
      </c>
      <c r="B21" s="5" t="s">
        <v>68</v>
      </c>
      <c r="C21" s="11" t="n">
        <v>46160</v>
      </c>
      <c r="D21" s="11" t="n">
        <v>46190</v>
      </c>
      <c r="E21" s="12" t="n">
        <v>580.46</v>
      </c>
      <c r="F21" s="5" t="n">
        <f aca="false">MAX(0,DATE(2026,9,30)-D21)</f>
        <v>105</v>
      </c>
      <c r="G21" s="5" t="str">
        <f aca="false">IF(F21=0,"Non échu",IF(F21&lt;=30,"1-30 j",IF(F21&lt;=60,"31-60 j",IF(F21&lt;=90,"61-90 j","&gt; 90 j"))))</f>
        <v>&gt; 90 j</v>
      </c>
    </row>
    <row r="22" customFormat="false" ht="15" hidden="false" customHeight="false" outlineLevel="0" collapsed="false">
      <c r="A22" s="5" t="s">
        <v>644</v>
      </c>
      <c r="B22" s="5" t="s">
        <v>63</v>
      </c>
      <c r="C22" s="11" t="n">
        <v>46161</v>
      </c>
      <c r="D22" s="11" t="n">
        <v>46206</v>
      </c>
      <c r="E22" s="12" t="n">
        <v>17314.45</v>
      </c>
      <c r="F22" s="5" t="n">
        <f aca="false">MAX(0,DATE(2026,9,30)-D22)</f>
        <v>89</v>
      </c>
      <c r="G22" s="5" t="str">
        <f aca="false">IF(F22=0,"Non échu",IF(F22&lt;=30,"1-30 j",IF(F22&lt;=60,"31-60 j",IF(F22&lt;=90,"61-90 j","&gt; 90 j"))))</f>
        <v>61-90 j</v>
      </c>
    </row>
    <row r="23" customFormat="false" ht="15" hidden="false" customHeight="false" outlineLevel="0" collapsed="false">
      <c r="A23" s="5" t="s">
        <v>645</v>
      </c>
      <c r="B23" s="5" t="s">
        <v>115</v>
      </c>
      <c r="C23" s="11" t="n">
        <v>46161</v>
      </c>
      <c r="D23" s="11" t="n">
        <v>46221</v>
      </c>
      <c r="E23" s="12" t="n">
        <v>9559.88</v>
      </c>
      <c r="F23" s="5" t="n">
        <f aca="false">MAX(0,DATE(2026,9,30)-D23)</f>
        <v>74</v>
      </c>
      <c r="G23" s="5" t="str">
        <f aca="false">IF(F23=0,"Non échu",IF(F23&lt;=30,"1-30 j",IF(F23&lt;=60,"31-60 j",IF(F23&lt;=90,"61-90 j","&gt; 90 j"))))</f>
        <v>61-90 j</v>
      </c>
    </row>
    <row r="24" customFormat="false" ht="15" hidden="false" customHeight="false" outlineLevel="0" collapsed="false">
      <c r="A24" s="5" t="s">
        <v>661</v>
      </c>
      <c r="B24" s="5" t="s">
        <v>56</v>
      </c>
      <c r="C24" s="11" t="n">
        <v>46164</v>
      </c>
      <c r="D24" s="11" t="n">
        <v>46224</v>
      </c>
      <c r="E24" s="12" t="n">
        <v>1074.73</v>
      </c>
      <c r="F24" s="5" t="n">
        <f aca="false">MAX(0,DATE(2026,9,30)-D24)</f>
        <v>71</v>
      </c>
      <c r="G24" s="5" t="str">
        <f aca="false">IF(F24=0,"Non échu",IF(F24&lt;=30,"1-30 j",IF(F24&lt;=60,"31-60 j",IF(F24&lt;=90,"61-90 j","&gt; 90 j"))))</f>
        <v>61-90 j</v>
      </c>
    </row>
    <row r="25" customFormat="false" ht="15" hidden="false" customHeight="false" outlineLevel="0" collapsed="false">
      <c r="A25" s="5" t="s">
        <v>671</v>
      </c>
      <c r="B25" s="5" t="s">
        <v>56</v>
      </c>
      <c r="C25" s="11" t="n">
        <v>46166</v>
      </c>
      <c r="D25" s="11" t="n">
        <v>46226</v>
      </c>
      <c r="E25" s="12" t="n">
        <v>7440.12</v>
      </c>
      <c r="F25" s="5" t="n">
        <f aca="false">MAX(0,DATE(2026,9,30)-D25)</f>
        <v>69</v>
      </c>
      <c r="G25" s="5" t="str">
        <f aca="false">IF(F25=0,"Non échu",IF(F25&lt;=30,"1-30 j",IF(F25&lt;=60,"31-60 j",IF(F25&lt;=90,"61-90 j","&gt; 90 j"))))</f>
        <v>61-90 j</v>
      </c>
    </row>
    <row r="26" customFormat="false" ht="15" hidden="false" customHeight="false" outlineLevel="0" collapsed="false">
      <c r="A26" s="5" t="s">
        <v>673</v>
      </c>
      <c r="B26" s="5" t="s">
        <v>94</v>
      </c>
      <c r="C26" s="11" t="n">
        <v>46166</v>
      </c>
      <c r="D26" s="11" t="n">
        <v>46211</v>
      </c>
      <c r="E26" s="12" t="n">
        <v>4919.36</v>
      </c>
      <c r="F26" s="5" t="n">
        <f aca="false">MAX(0,DATE(2026,9,30)-D26)</f>
        <v>84</v>
      </c>
      <c r="G26" s="5" t="str">
        <f aca="false">IF(F26=0,"Non échu",IF(F26&lt;=30,"1-30 j",IF(F26&lt;=60,"31-60 j",IF(F26&lt;=90,"61-90 j","&gt; 90 j"))))</f>
        <v>61-90 j</v>
      </c>
    </row>
    <row r="27" customFormat="false" ht="15" hidden="false" customHeight="false" outlineLevel="0" collapsed="false">
      <c r="A27" s="5" t="s">
        <v>674</v>
      </c>
      <c r="B27" s="5" t="s">
        <v>115</v>
      </c>
      <c r="C27" s="11" t="n">
        <v>46166</v>
      </c>
      <c r="D27" s="11" t="n">
        <v>46226</v>
      </c>
      <c r="E27" s="12" t="n">
        <v>2635.81</v>
      </c>
      <c r="F27" s="5" t="n">
        <f aca="false">MAX(0,DATE(2026,9,30)-D27)</f>
        <v>69</v>
      </c>
      <c r="G27" s="5" t="str">
        <f aca="false">IF(F27=0,"Non échu",IF(F27&lt;=30,"1-30 j",IF(F27&lt;=60,"31-60 j",IF(F27&lt;=90,"61-90 j","&gt; 90 j"))))</f>
        <v>61-90 j</v>
      </c>
    </row>
    <row r="28" customFormat="false" ht="15" hidden="false" customHeight="false" outlineLevel="0" collapsed="false">
      <c r="A28" s="5" t="s">
        <v>680</v>
      </c>
      <c r="B28" s="5" t="s">
        <v>85</v>
      </c>
      <c r="C28" s="11" t="n">
        <v>46168</v>
      </c>
      <c r="D28" s="11" t="n">
        <v>46198</v>
      </c>
      <c r="E28" s="12" t="n">
        <v>3777.11</v>
      </c>
      <c r="F28" s="5" t="n">
        <f aca="false">MAX(0,DATE(2026,9,30)-D28)</f>
        <v>97</v>
      </c>
      <c r="G28" s="5" t="str">
        <f aca="false">IF(F28=0,"Non échu",IF(F28&lt;=30,"1-30 j",IF(F28&lt;=60,"31-60 j",IF(F28&lt;=90,"61-90 j","&gt; 90 j"))))</f>
        <v>&gt; 90 j</v>
      </c>
    </row>
    <row r="29" customFormat="false" ht="15" hidden="false" customHeight="false" outlineLevel="0" collapsed="false">
      <c r="A29" s="5" t="s">
        <v>682</v>
      </c>
      <c r="B29" s="5" t="s">
        <v>85</v>
      </c>
      <c r="C29" s="11" t="n">
        <v>46168</v>
      </c>
      <c r="D29" s="11" t="n">
        <v>46198</v>
      </c>
      <c r="E29" s="12" t="n">
        <v>354.48</v>
      </c>
      <c r="F29" s="5" t="n">
        <f aca="false">MAX(0,DATE(2026,9,30)-D29)</f>
        <v>97</v>
      </c>
      <c r="G29" s="5" t="str">
        <f aca="false">IF(F29=0,"Non échu",IF(F29&lt;=30,"1-30 j",IF(F29&lt;=60,"31-60 j",IF(F29&lt;=90,"61-90 j","&gt; 90 j"))))</f>
        <v>&gt; 90 j</v>
      </c>
    </row>
    <row r="30" customFormat="false" ht="15" hidden="false" customHeight="false" outlineLevel="0" collapsed="false">
      <c r="A30" s="5" t="s">
        <v>685</v>
      </c>
      <c r="B30" s="5" t="s">
        <v>115</v>
      </c>
      <c r="C30" s="11" t="n">
        <v>46169</v>
      </c>
      <c r="D30" s="11" t="n">
        <v>46229</v>
      </c>
      <c r="E30" s="12" t="n">
        <v>9557.98</v>
      </c>
      <c r="F30" s="5" t="n">
        <f aca="false">MAX(0,DATE(2026,9,30)-D30)</f>
        <v>66</v>
      </c>
      <c r="G30" s="5" t="str">
        <f aca="false">IF(F30=0,"Non échu",IF(F30&lt;=30,"1-30 j",IF(F30&lt;=60,"31-60 j",IF(F30&lt;=90,"61-90 j","&gt; 90 j"))))</f>
        <v>61-90 j</v>
      </c>
    </row>
    <row r="31" customFormat="false" ht="15" hidden="false" customHeight="false" outlineLevel="0" collapsed="false">
      <c r="A31" s="5" t="s">
        <v>687</v>
      </c>
      <c r="B31" s="5" t="s">
        <v>56</v>
      </c>
      <c r="C31" s="11" t="n">
        <v>46169</v>
      </c>
      <c r="D31" s="11" t="n">
        <v>46229</v>
      </c>
      <c r="E31" s="12" t="n">
        <v>1072.3</v>
      </c>
      <c r="F31" s="5" t="n">
        <f aca="false">MAX(0,DATE(2026,9,30)-D31)</f>
        <v>66</v>
      </c>
      <c r="G31" s="5" t="str">
        <f aca="false">IF(F31=0,"Non échu",IF(F31&lt;=30,"1-30 j",IF(F31&lt;=60,"31-60 j",IF(F31&lt;=90,"61-90 j","&gt; 90 j"))))</f>
        <v>61-90 j</v>
      </c>
    </row>
    <row r="32" customFormat="false" ht="15" hidden="false" customHeight="false" outlineLevel="0" collapsed="false">
      <c r="A32" s="5" t="s">
        <v>691</v>
      </c>
      <c r="B32" s="5" t="s">
        <v>81</v>
      </c>
      <c r="C32" s="11" t="n">
        <v>46174</v>
      </c>
      <c r="D32" s="11" t="n">
        <v>46219</v>
      </c>
      <c r="E32" s="12" t="n">
        <v>17943.33</v>
      </c>
      <c r="F32" s="5" t="n">
        <f aca="false">MAX(0,DATE(2026,9,30)-D32)</f>
        <v>76</v>
      </c>
      <c r="G32" s="5" t="str">
        <f aca="false">IF(F32=0,"Non échu",IF(F32&lt;=30,"1-30 j",IF(F32&lt;=60,"31-60 j",IF(F32&lt;=90,"61-90 j","&gt; 90 j"))))</f>
        <v>61-90 j</v>
      </c>
    </row>
    <row r="33" customFormat="false" ht="15" hidden="false" customHeight="false" outlineLevel="0" collapsed="false">
      <c r="A33" s="5" t="s">
        <v>699</v>
      </c>
      <c r="B33" s="5" t="s">
        <v>115</v>
      </c>
      <c r="C33" s="11" t="n">
        <v>46175</v>
      </c>
      <c r="D33" s="11" t="n">
        <v>46235</v>
      </c>
      <c r="E33" s="12" t="n">
        <v>3202.98</v>
      </c>
      <c r="F33" s="5" t="n">
        <f aca="false">MAX(0,DATE(2026,9,30)-D33)</f>
        <v>60</v>
      </c>
      <c r="G33" s="5" t="str">
        <f aca="false">IF(F33=0,"Non échu",IF(F33&lt;=30,"1-30 j",IF(F33&lt;=60,"31-60 j",IF(F33&lt;=90,"61-90 j","&gt; 90 j"))))</f>
        <v>31-60 j</v>
      </c>
    </row>
    <row r="34" customFormat="false" ht="15" hidden="false" customHeight="false" outlineLevel="0" collapsed="false">
      <c r="A34" s="5" t="s">
        <v>712</v>
      </c>
      <c r="B34" s="5" t="s">
        <v>73</v>
      </c>
      <c r="C34" s="11" t="n">
        <v>46178</v>
      </c>
      <c r="D34" s="11" t="n">
        <v>46208</v>
      </c>
      <c r="E34" s="12" t="n">
        <v>9905.18</v>
      </c>
      <c r="F34" s="5" t="n">
        <f aca="false">MAX(0,DATE(2026,9,30)-D34)</f>
        <v>87</v>
      </c>
      <c r="G34" s="5" t="str">
        <f aca="false">IF(F34=0,"Non échu",IF(F34&lt;=30,"1-30 j",IF(F34&lt;=60,"31-60 j",IF(F34&lt;=90,"61-90 j","&gt; 90 j"))))</f>
        <v>61-90 j</v>
      </c>
    </row>
    <row r="35" customFormat="false" ht="15" hidden="false" customHeight="false" outlineLevel="0" collapsed="false">
      <c r="A35" s="5" t="s">
        <v>720</v>
      </c>
      <c r="B35" s="5" t="s">
        <v>56</v>
      </c>
      <c r="C35" s="11" t="n">
        <v>46180</v>
      </c>
      <c r="D35" s="11" t="n">
        <v>46240</v>
      </c>
      <c r="E35" s="12" t="n">
        <v>12376.42</v>
      </c>
      <c r="F35" s="5" t="n">
        <f aca="false">MAX(0,DATE(2026,9,30)-D35)</f>
        <v>55</v>
      </c>
      <c r="G35" s="5" t="str">
        <f aca="false">IF(F35=0,"Non échu",IF(F35&lt;=30,"1-30 j",IF(F35&lt;=60,"31-60 j",IF(F35&lt;=90,"61-90 j","&gt; 90 j"))))</f>
        <v>31-60 j</v>
      </c>
    </row>
    <row r="36" customFormat="false" ht="15" hidden="false" customHeight="false" outlineLevel="0" collapsed="false">
      <c r="A36" s="5" t="s">
        <v>721</v>
      </c>
      <c r="B36" s="5" t="s">
        <v>81</v>
      </c>
      <c r="C36" s="11" t="n">
        <v>46180</v>
      </c>
      <c r="D36" s="11" t="n">
        <v>46225</v>
      </c>
      <c r="E36" s="12" t="n">
        <v>2593.51</v>
      </c>
      <c r="F36" s="5" t="n">
        <f aca="false">MAX(0,DATE(2026,9,30)-D36)</f>
        <v>70</v>
      </c>
      <c r="G36" s="5" t="str">
        <f aca="false">IF(F36=0,"Non échu",IF(F36&lt;=30,"1-30 j",IF(F36&lt;=60,"31-60 j",IF(F36&lt;=90,"61-90 j","&gt; 90 j"))))</f>
        <v>61-90 j</v>
      </c>
    </row>
    <row r="37" customFormat="false" ht="15" hidden="false" customHeight="false" outlineLevel="0" collapsed="false">
      <c r="A37" s="5" t="s">
        <v>723</v>
      </c>
      <c r="B37" s="5" t="s">
        <v>56</v>
      </c>
      <c r="C37" s="11" t="n">
        <v>46181</v>
      </c>
      <c r="D37" s="11" t="n">
        <v>46241</v>
      </c>
      <c r="E37" s="12" t="n">
        <v>5919.82</v>
      </c>
      <c r="F37" s="5" t="n">
        <f aca="false">MAX(0,DATE(2026,9,30)-D37)</f>
        <v>54</v>
      </c>
      <c r="G37" s="5" t="str">
        <f aca="false">IF(F37=0,"Non échu",IF(F37&lt;=30,"1-30 j",IF(F37&lt;=60,"31-60 j",IF(F37&lt;=90,"61-90 j","&gt; 90 j"))))</f>
        <v>31-60 j</v>
      </c>
    </row>
    <row r="38" customFormat="false" ht="15" hidden="false" customHeight="false" outlineLevel="0" collapsed="false">
      <c r="A38" s="5" t="s">
        <v>724</v>
      </c>
      <c r="B38" s="5" t="s">
        <v>115</v>
      </c>
      <c r="C38" s="11" t="n">
        <v>46182</v>
      </c>
      <c r="D38" s="11" t="n">
        <v>46242</v>
      </c>
      <c r="E38" s="12" t="n">
        <v>921.65</v>
      </c>
      <c r="F38" s="5" t="n">
        <f aca="false">MAX(0,DATE(2026,9,30)-D38)</f>
        <v>53</v>
      </c>
      <c r="G38" s="5" t="str">
        <f aca="false">IF(F38=0,"Non échu",IF(F38&lt;=30,"1-30 j",IF(F38&lt;=60,"31-60 j",IF(F38&lt;=90,"61-90 j","&gt; 90 j"))))</f>
        <v>31-60 j</v>
      </c>
    </row>
    <row r="39" customFormat="false" ht="15" hidden="false" customHeight="false" outlineLevel="0" collapsed="false">
      <c r="A39" s="5" t="s">
        <v>730</v>
      </c>
      <c r="B39" s="5" t="s">
        <v>81</v>
      </c>
      <c r="C39" s="11" t="n">
        <v>46184</v>
      </c>
      <c r="D39" s="11" t="n">
        <v>46229</v>
      </c>
      <c r="E39" s="12" t="n">
        <v>17942.17</v>
      </c>
      <c r="F39" s="5" t="n">
        <f aca="false">MAX(0,DATE(2026,9,30)-D39)</f>
        <v>66</v>
      </c>
      <c r="G39" s="5" t="str">
        <f aca="false">IF(F39=0,"Non échu",IF(F39&lt;=30,"1-30 j",IF(F39&lt;=60,"31-60 j",IF(F39&lt;=90,"61-90 j","&gt; 90 j"))))</f>
        <v>61-90 j</v>
      </c>
    </row>
    <row r="40" customFormat="false" ht="15" hidden="false" customHeight="false" outlineLevel="0" collapsed="false">
      <c r="A40" s="5" t="s">
        <v>734</v>
      </c>
      <c r="B40" s="5" t="s">
        <v>56</v>
      </c>
      <c r="C40" s="11" t="n">
        <v>46185</v>
      </c>
      <c r="D40" s="11" t="n">
        <v>46245</v>
      </c>
      <c r="E40" s="12" t="n">
        <v>1488.82</v>
      </c>
      <c r="F40" s="5" t="n">
        <f aca="false">MAX(0,DATE(2026,9,30)-D40)</f>
        <v>50</v>
      </c>
      <c r="G40" s="5" t="str">
        <f aca="false">IF(F40=0,"Non échu",IF(F40&lt;=30,"1-30 j",IF(F40&lt;=60,"31-60 j",IF(F40&lt;=90,"61-90 j","&gt; 90 j"))))</f>
        <v>31-60 j</v>
      </c>
    </row>
    <row r="41" customFormat="false" ht="15" hidden="false" customHeight="false" outlineLevel="0" collapsed="false">
      <c r="A41" s="5" t="s">
        <v>739</v>
      </c>
      <c r="B41" s="5" t="s">
        <v>56</v>
      </c>
      <c r="C41" s="11" t="n">
        <v>46186</v>
      </c>
      <c r="D41" s="11" t="n">
        <v>46246</v>
      </c>
      <c r="E41" s="12" t="n">
        <v>4596.48</v>
      </c>
      <c r="F41" s="5" t="n">
        <f aca="false">MAX(0,DATE(2026,9,30)-D41)</f>
        <v>49</v>
      </c>
      <c r="G41" s="5" t="str">
        <f aca="false">IF(F41=0,"Non échu",IF(F41&lt;=30,"1-30 j",IF(F41&lt;=60,"31-60 j",IF(F41&lt;=90,"61-90 j","&gt; 90 j"))))</f>
        <v>31-60 j</v>
      </c>
    </row>
    <row r="42" customFormat="false" ht="15" hidden="false" customHeight="false" outlineLevel="0" collapsed="false">
      <c r="A42" s="5" t="s">
        <v>746</v>
      </c>
      <c r="B42" s="5" t="s">
        <v>115</v>
      </c>
      <c r="C42" s="11" t="n">
        <v>46188</v>
      </c>
      <c r="D42" s="11" t="n">
        <v>46248</v>
      </c>
      <c r="E42" s="12" t="n">
        <v>921.65</v>
      </c>
      <c r="F42" s="5" t="n">
        <f aca="false">MAX(0,DATE(2026,9,30)-D42)</f>
        <v>47</v>
      </c>
      <c r="G42" s="5" t="str">
        <f aca="false">IF(F42=0,"Non échu",IF(F42&lt;=30,"1-30 j",IF(F42&lt;=60,"31-60 j",IF(F42&lt;=90,"61-90 j","&gt; 90 j"))))</f>
        <v>31-60 j</v>
      </c>
    </row>
    <row r="43" customFormat="false" ht="15" hidden="false" customHeight="false" outlineLevel="0" collapsed="false">
      <c r="A43" s="5" t="s">
        <v>747</v>
      </c>
      <c r="B43" s="5" t="s">
        <v>56</v>
      </c>
      <c r="C43" s="11" t="n">
        <v>46188</v>
      </c>
      <c r="D43" s="11" t="n">
        <v>46248</v>
      </c>
      <c r="E43" s="12" t="n">
        <v>1488.82</v>
      </c>
      <c r="F43" s="5" t="n">
        <f aca="false">MAX(0,DATE(2026,9,30)-D43)</f>
        <v>47</v>
      </c>
      <c r="G43" s="5" t="str">
        <f aca="false">IF(F43=0,"Non échu",IF(F43&lt;=30,"1-30 j",IF(F43&lt;=60,"31-60 j",IF(F43&lt;=90,"61-90 j","&gt; 90 j"))))</f>
        <v>31-60 j</v>
      </c>
    </row>
    <row r="44" customFormat="false" ht="15" hidden="false" customHeight="false" outlineLevel="0" collapsed="false">
      <c r="A44" s="5" t="s">
        <v>748</v>
      </c>
      <c r="B44" s="5" t="s">
        <v>115</v>
      </c>
      <c r="C44" s="11" t="n">
        <v>46188</v>
      </c>
      <c r="D44" s="11" t="n">
        <v>46248</v>
      </c>
      <c r="E44" s="12" t="n">
        <v>3675.24</v>
      </c>
      <c r="F44" s="5" t="n">
        <f aca="false">MAX(0,DATE(2026,9,30)-D44)</f>
        <v>47</v>
      </c>
      <c r="G44" s="5" t="str">
        <f aca="false">IF(F44=0,"Non échu",IF(F44&lt;=30,"1-30 j",IF(F44&lt;=60,"31-60 j",IF(F44&lt;=90,"61-90 j","&gt; 90 j"))))</f>
        <v>31-60 j</v>
      </c>
    </row>
    <row r="45" customFormat="false" ht="15" hidden="false" customHeight="false" outlineLevel="0" collapsed="false">
      <c r="A45" s="5" t="s">
        <v>761</v>
      </c>
      <c r="B45" s="5" t="s">
        <v>56</v>
      </c>
      <c r="C45" s="11" t="n">
        <v>46190</v>
      </c>
      <c r="D45" s="11" t="n">
        <v>46250</v>
      </c>
      <c r="E45" s="12" t="n">
        <v>5919.18</v>
      </c>
      <c r="F45" s="5" t="n">
        <f aca="false">MAX(0,DATE(2026,9,30)-D45)</f>
        <v>45</v>
      </c>
      <c r="G45" s="5" t="str">
        <f aca="false">IF(F45=0,"Non échu",IF(F45&lt;=30,"1-30 j",IF(F45&lt;=60,"31-60 j",IF(F45&lt;=90,"61-90 j","&gt; 90 j"))))</f>
        <v>31-60 j</v>
      </c>
    </row>
    <row r="46" customFormat="false" ht="15" hidden="false" customHeight="false" outlineLevel="0" collapsed="false">
      <c r="A46" s="5" t="s">
        <v>762</v>
      </c>
      <c r="B46" s="5" t="s">
        <v>56</v>
      </c>
      <c r="C46" s="11" t="n">
        <v>46191</v>
      </c>
      <c r="D46" s="11" t="n">
        <v>46251</v>
      </c>
      <c r="E46" s="12" t="n">
        <v>12355.1</v>
      </c>
      <c r="F46" s="5" t="n">
        <f aca="false">MAX(0,DATE(2026,9,30)-D46)</f>
        <v>44</v>
      </c>
      <c r="G46" s="5" t="str">
        <f aca="false">IF(F46=0,"Non échu",IF(F46&lt;=30,"1-30 j",IF(F46&lt;=60,"31-60 j",IF(F46&lt;=90,"61-90 j","&gt; 90 j"))))</f>
        <v>31-60 j</v>
      </c>
    </row>
    <row r="47" customFormat="false" ht="15" hidden="false" customHeight="false" outlineLevel="0" collapsed="false">
      <c r="A47" s="5" t="s">
        <v>768</v>
      </c>
      <c r="B47" s="5" t="s">
        <v>56</v>
      </c>
      <c r="C47" s="11" t="n">
        <v>46193</v>
      </c>
      <c r="D47" s="11" t="n">
        <v>46253</v>
      </c>
      <c r="E47" s="12" t="n">
        <v>12355.1</v>
      </c>
      <c r="F47" s="5" t="n">
        <f aca="false">MAX(0,DATE(2026,9,30)-D47)</f>
        <v>42</v>
      </c>
      <c r="G47" s="5" t="str">
        <f aca="false">IF(F47=0,"Non échu",IF(F47&lt;=30,"1-30 j",IF(F47&lt;=60,"31-60 j",IF(F47&lt;=90,"61-90 j","&gt; 90 j"))))</f>
        <v>31-60 j</v>
      </c>
    </row>
    <row r="48" customFormat="false" ht="15" hidden="false" customHeight="false" outlineLevel="0" collapsed="false">
      <c r="A48" s="5" t="s">
        <v>771</v>
      </c>
      <c r="B48" s="5" t="s">
        <v>99</v>
      </c>
      <c r="C48" s="11" t="n">
        <v>46193</v>
      </c>
      <c r="D48" s="11" t="n">
        <v>46223</v>
      </c>
      <c r="E48" s="12" t="n">
        <v>5526.44</v>
      </c>
      <c r="F48" s="5" t="n">
        <f aca="false">MAX(0,DATE(2026,9,30)-D48)</f>
        <v>72</v>
      </c>
      <c r="G48" s="5" t="str">
        <f aca="false">IF(F48=0,"Non échu",IF(F48&lt;=30,"1-30 j",IF(F48&lt;=60,"31-60 j",IF(F48&lt;=90,"61-90 j","&gt; 90 j"))))</f>
        <v>61-90 j</v>
      </c>
    </row>
    <row r="49" customFormat="false" ht="15" hidden="false" customHeight="false" outlineLevel="0" collapsed="false">
      <c r="A49" s="5" t="s">
        <v>772</v>
      </c>
      <c r="B49" s="5" t="s">
        <v>115</v>
      </c>
      <c r="C49" s="11" t="n">
        <v>46193</v>
      </c>
      <c r="D49" s="11" t="n">
        <v>46253</v>
      </c>
      <c r="E49" s="12" t="n">
        <v>3202.51</v>
      </c>
      <c r="F49" s="5" t="n">
        <f aca="false">MAX(0,DATE(2026,9,30)-D49)</f>
        <v>42</v>
      </c>
      <c r="G49" s="5" t="str">
        <f aca="false">IF(F49=0,"Non échu",IF(F49&lt;=30,"1-30 j",IF(F49&lt;=60,"31-60 j",IF(F49&lt;=90,"61-90 j","&gt; 90 j"))))</f>
        <v>31-60 j</v>
      </c>
    </row>
    <row r="50" customFormat="false" ht="15" hidden="false" customHeight="false" outlineLevel="0" collapsed="false">
      <c r="A50" s="5" t="s">
        <v>781</v>
      </c>
      <c r="B50" s="5" t="s">
        <v>56</v>
      </c>
      <c r="C50" s="11" t="n">
        <v>46195</v>
      </c>
      <c r="D50" s="11" t="n">
        <v>46255</v>
      </c>
      <c r="E50" s="12" t="n">
        <v>5919.82</v>
      </c>
      <c r="F50" s="5" t="n">
        <f aca="false">MAX(0,DATE(2026,9,30)-D50)</f>
        <v>40</v>
      </c>
      <c r="G50" s="5" t="str">
        <f aca="false">IF(F50=0,"Non échu",IF(F50&lt;=30,"1-30 j",IF(F50&lt;=60,"31-60 j",IF(F50&lt;=90,"61-90 j","&gt; 90 j"))))</f>
        <v>31-60 j</v>
      </c>
    </row>
    <row r="51" customFormat="false" ht="15" hidden="false" customHeight="false" outlineLevel="0" collapsed="false">
      <c r="A51" s="5" t="s">
        <v>783</v>
      </c>
      <c r="B51" s="5" t="s">
        <v>115</v>
      </c>
      <c r="C51" s="11" t="n">
        <v>46196</v>
      </c>
      <c r="D51" s="11" t="n">
        <v>46256</v>
      </c>
      <c r="E51" s="12" t="n">
        <v>3684.48</v>
      </c>
      <c r="F51" s="5" t="n">
        <f aca="false">MAX(0,DATE(2026,9,30)-D51)</f>
        <v>39</v>
      </c>
      <c r="G51" s="5" t="str">
        <f aca="false">IF(F51=0,"Non échu",IF(F51&lt;=30,"1-30 j",IF(F51&lt;=60,"31-60 j",IF(F51&lt;=90,"61-90 j","&gt; 90 j"))))</f>
        <v>31-60 j</v>
      </c>
    </row>
    <row r="52" customFormat="false" ht="15" hidden="false" customHeight="false" outlineLevel="0" collapsed="false">
      <c r="A52" s="5" t="s">
        <v>787</v>
      </c>
      <c r="B52" s="5" t="s">
        <v>73</v>
      </c>
      <c r="C52" s="11" t="n">
        <v>46197</v>
      </c>
      <c r="D52" s="11" t="n">
        <v>46227</v>
      </c>
      <c r="E52" s="12" t="n">
        <v>6739.8</v>
      </c>
      <c r="F52" s="5" t="n">
        <f aca="false">MAX(0,DATE(2026,9,30)-D52)</f>
        <v>68</v>
      </c>
      <c r="G52" s="5" t="str">
        <f aca="false">IF(F52=0,"Non échu",IF(F52&lt;=30,"1-30 j",IF(F52&lt;=60,"31-60 j",IF(F52&lt;=90,"61-90 j","&gt; 90 j"))))</f>
        <v>61-90 j</v>
      </c>
    </row>
    <row r="53" customFormat="false" ht="15" hidden="false" customHeight="false" outlineLevel="0" collapsed="false">
      <c r="A53" s="5" t="s">
        <v>796</v>
      </c>
      <c r="B53" s="5" t="s">
        <v>68</v>
      </c>
      <c r="C53" s="11" t="n">
        <v>46199</v>
      </c>
      <c r="D53" s="11" t="n">
        <v>46229</v>
      </c>
      <c r="E53" s="12" t="n">
        <v>1100.47</v>
      </c>
      <c r="F53" s="5" t="n">
        <f aca="false">MAX(0,DATE(2026,9,30)-D53)</f>
        <v>66</v>
      </c>
      <c r="G53" s="5" t="str">
        <f aca="false">IF(F53=0,"Non échu",IF(F53&lt;=30,"1-30 j",IF(F53&lt;=60,"31-60 j",IF(F53&lt;=90,"61-90 j","&gt; 90 j"))))</f>
        <v>61-90 j</v>
      </c>
    </row>
    <row r="54" customFormat="false" ht="15" hidden="false" customHeight="false" outlineLevel="0" collapsed="false">
      <c r="A54" s="5" t="s">
        <v>797</v>
      </c>
      <c r="B54" s="5" t="s">
        <v>94</v>
      </c>
      <c r="C54" s="11" t="n">
        <v>46200</v>
      </c>
      <c r="D54" s="11" t="n">
        <v>46245</v>
      </c>
      <c r="E54" s="12" t="n">
        <v>886.2</v>
      </c>
      <c r="F54" s="5" t="n">
        <f aca="false">MAX(0,DATE(2026,9,30)-D54)</f>
        <v>50</v>
      </c>
      <c r="G54" s="5" t="str">
        <f aca="false">IF(F54=0,"Non échu",IF(F54&lt;=30,"1-30 j",IF(F54&lt;=60,"31-60 j",IF(F54&lt;=90,"61-90 j","&gt; 90 j"))))</f>
        <v>31-60 j</v>
      </c>
    </row>
    <row r="55" customFormat="false" ht="15" hidden="false" customHeight="false" outlineLevel="0" collapsed="false">
      <c r="A55" s="5" t="s">
        <v>798</v>
      </c>
      <c r="B55" s="5" t="s">
        <v>56</v>
      </c>
      <c r="C55" s="11" t="n">
        <v>46200</v>
      </c>
      <c r="D55" s="11" t="n">
        <v>46260</v>
      </c>
      <c r="E55" s="12" t="n">
        <v>1488.82</v>
      </c>
      <c r="F55" s="5" t="n">
        <f aca="false">MAX(0,DATE(2026,9,30)-D55)</f>
        <v>35</v>
      </c>
      <c r="G55" s="5" t="str">
        <f aca="false">IF(F55=0,"Non échu",IF(F55&lt;=30,"1-30 j",IF(F55&lt;=60,"31-60 j",IF(F55&lt;=90,"61-90 j","&gt; 90 j"))))</f>
        <v>31-60 j</v>
      </c>
    </row>
    <row r="56" customFormat="false" ht="15" hidden="false" customHeight="false" outlineLevel="0" collapsed="false">
      <c r="A56" s="5" t="s">
        <v>802</v>
      </c>
      <c r="B56" s="5" t="s">
        <v>115</v>
      </c>
      <c r="C56" s="11" t="n">
        <v>46201</v>
      </c>
      <c r="D56" s="11" t="n">
        <v>46261</v>
      </c>
      <c r="E56" s="12" t="n">
        <v>7945.1</v>
      </c>
      <c r="F56" s="5" t="n">
        <f aca="false">MAX(0,DATE(2026,9,30)-D56)</f>
        <v>34</v>
      </c>
      <c r="G56" s="5" t="str">
        <f aca="false">IF(F56=0,"Non échu",IF(F56&lt;=30,"1-30 j",IF(F56&lt;=60,"31-60 j",IF(F56&lt;=90,"61-90 j","&gt; 90 j"))))</f>
        <v>31-60 j</v>
      </c>
    </row>
    <row r="57" customFormat="false" ht="15" hidden="false" customHeight="false" outlineLevel="0" collapsed="false">
      <c r="A57" s="5" t="s">
        <v>806</v>
      </c>
      <c r="B57" s="5" t="s">
        <v>115</v>
      </c>
      <c r="C57" s="11" t="n">
        <v>46204</v>
      </c>
      <c r="D57" s="11" t="n">
        <v>46264</v>
      </c>
      <c r="E57" s="12" t="n">
        <v>778.7</v>
      </c>
      <c r="F57" s="5" t="n">
        <f aca="false">MAX(0,DATE(2026,9,30)-D57)</f>
        <v>31</v>
      </c>
      <c r="G57" s="5" t="str">
        <f aca="false">IF(F57=0,"Non échu",IF(F57&lt;=30,"1-30 j",IF(F57&lt;=60,"31-60 j",IF(F57&lt;=90,"61-90 j","&gt; 90 j"))))</f>
        <v>31-60 j</v>
      </c>
    </row>
    <row r="58" customFormat="false" ht="15" hidden="false" customHeight="false" outlineLevel="0" collapsed="false">
      <c r="A58" s="5" t="s">
        <v>807</v>
      </c>
      <c r="B58" s="5" t="s">
        <v>115</v>
      </c>
      <c r="C58" s="11" t="n">
        <v>46204</v>
      </c>
      <c r="D58" s="11" t="n">
        <v>46264</v>
      </c>
      <c r="E58" s="12" t="n">
        <v>779.86</v>
      </c>
      <c r="F58" s="5" t="n">
        <f aca="false">MAX(0,DATE(2026,9,30)-D58)</f>
        <v>31</v>
      </c>
      <c r="G58" s="5" t="str">
        <f aca="false">IF(F58=0,"Non échu",IF(F58&lt;=30,"1-30 j",IF(F58&lt;=60,"31-60 j",IF(F58&lt;=90,"61-90 j","&gt; 90 j"))))</f>
        <v>31-60 j</v>
      </c>
    </row>
    <row r="59" customFormat="false" ht="15" hidden="false" customHeight="false" outlineLevel="0" collapsed="false">
      <c r="A59" s="5" t="s">
        <v>808</v>
      </c>
      <c r="B59" s="5" t="s">
        <v>115</v>
      </c>
      <c r="C59" s="11" t="n">
        <v>46204</v>
      </c>
      <c r="D59" s="11" t="n">
        <v>46264</v>
      </c>
      <c r="E59" s="12" t="n">
        <v>2919.29</v>
      </c>
      <c r="F59" s="5" t="n">
        <f aca="false">MAX(0,DATE(2026,9,30)-D59)</f>
        <v>31</v>
      </c>
      <c r="G59" s="5" t="str">
        <f aca="false">IF(F59=0,"Non échu",IF(F59&lt;=30,"1-30 j",IF(F59&lt;=60,"31-60 j",IF(F59&lt;=90,"61-90 j","&gt; 90 j"))))</f>
        <v>31-60 j</v>
      </c>
    </row>
    <row r="60" customFormat="false" ht="15" hidden="false" customHeight="false" outlineLevel="0" collapsed="false">
      <c r="A60" s="5" t="s">
        <v>809</v>
      </c>
      <c r="B60" s="5" t="s">
        <v>115</v>
      </c>
      <c r="C60" s="11" t="n">
        <v>46205</v>
      </c>
      <c r="D60" s="11" t="n">
        <v>46265</v>
      </c>
      <c r="E60" s="12" t="n">
        <v>5221.19</v>
      </c>
      <c r="F60" s="5" t="n">
        <f aca="false">MAX(0,DATE(2026,9,30)-D60)</f>
        <v>30</v>
      </c>
      <c r="G60" s="5" t="str">
        <f aca="false">IF(F60=0,"Non échu",IF(F60&lt;=30,"1-30 j",IF(F60&lt;=60,"31-60 j",IF(F60&lt;=90,"61-90 j","&gt; 90 j"))))</f>
        <v>1-30 j</v>
      </c>
    </row>
    <row r="61" customFormat="false" ht="15" hidden="false" customHeight="false" outlineLevel="0" collapsed="false">
      <c r="A61" s="5" t="s">
        <v>817</v>
      </c>
      <c r="B61" s="5" t="s">
        <v>56</v>
      </c>
      <c r="C61" s="11" t="n">
        <v>46206</v>
      </c>
      <c r="D61" s="11" t="n">
        <v>46266</v>
      </c>
      <c r="E61" s="12" t="n">
        <v>15700.93</v>
      </c>
      <c r="F61" s="5" t="n">
        <f aca="false">MAX(0,DATE(2026,9,30)-D61)</f>
        <v>29</v>
      </c>
      <c r="G61" s="5" t="str">
        <f aca="false">IF(F61=0,"Non échu",IF(F61&lt;=30,"1-30 j",IF(F61&lt;=60,"31-60 j",IF(F61&lt;=90,"61-90 j","&gt; 90 j"))))</f>
        <v>1-30 j</v>
      </c>
    </row>
    <row r="62" customFormat="false" ht="15" hidden="false" customHeight="false" outlineLevel="0" collapsed="false">
      <c r="A62" s="5" t="s">
        <v>820</v>
      </c>
      <c r="B62" s="5" t="s">
        <v>115</v>
      </c>
      <c r="C62" s="11" t="n">
        <v>46206</v>
      </c>
      <c r="D62" s="11" t="n">
        <v>46266</v>
      </c>
      <c r="E62" s="12" t="n">
        <v>779.86</v>
      </c>
      <c r="F62" s="5" t="n">
        <f aca="false">MAX(0,DATE(2026,9,30)-D62)</f>
        <v>29</v>
      </c>
      <c r="G62" s="5" t="str">
        <f aca="false">IF(F62=0,"Non échu",IF(F62&lt;=30,"1-30 j",IF(F62&lt;=60,"31-60 j",IF(F62&lt;=90,"61-90 j","&gt; 90 j"))))</f>
        <v>1-30 j</v>
      </c>
    </row>
    <row r="63" customFormat="false" ht="15" hidden="false" customHeight="false" outlineLevel="0" collapsed="false">
      <c r="A63" s="5" t="s">
        <v>821</v>
      </c>
      <c r="B63" s="5" t="s">
        <v>81</v>
      </c>
      <c r="C63" s="11" t="n">
        <v>46206</v>
      </c>
      <c r="D63" s="11" t="n">
        <v>46251</v>
      </c>
      <c r="E63" s="12" t="n">
        <v>9758.4</v>
      </c>
      <c r="F63" s="5" t="n">
        <f aca="false">MAX(0,DATE(2026,9,30)-D63)</f>
        <v>44</v>
      </c>
      <c r="G63" s="5" t="str">
        <f aca="false">IF(F63=0,"Non échu",IF(F63&lt;=30,"1-30 j",IF(F63&lt;=60,"31-60 j",IF(F63&lt;=90,"61-90 j","&gt; 90 j"))))</f>
        <v>31-60 j</v>
      </c>
    </row>
    <row r="64" customFormat="false" ht="15" hidden="false" customHeight="false" outlineLevel="0" collapsed="false">
      <c r="A64" s="5" t="s">
        <v>824</v>
      </c>
      <c r="B64" s="5" t="s">
        <v>115</v>
      </c>
      <c r="C64" s="11" t="n">
        <v>46206</v>
      </c>
      <c r="D64" s="11" t="n">
        <v>46266</v>
      </c>
      <c r="E64" s="12" t="n">
        <v>2916.86</v>
      </c>
      <c r="F64" s="5" t="n">
        <f aca="false">MAX(0,DATE(2026,9,30)-D64)</f>
        <v>29</v>
      </c>
      <c r="G64" s="5" t="str">
        <f aca="false">IF(F64=0,"Non échu",IF(F64&lt;=30,"1-30 j",IF(F64&lt;=60,"31-60 j",IF(F64&lt;=90,"61-90 j","&gt; 90 j"))))</f>
        <v>1-30 j</v>
      </c>
    </row>
    <row r="65" customFormat="false" ht="15" hidden="false" customHeight="false" outlineLevel="0" collapsed="false">
      <c r="A65" s="5" t="s">
        <v>828</v>
      </c>
      <c r="B65" s="5" t="s">
        <v>63</v>
      </c>
      <c r="C65" s="11" t="n">
        <v>46208</v>
      </c>
      <c r="D65" s="11" t="n">
        <v>46253</v>
      </c>
      <c r="E65" s="12" t="n">
        <v>2614.29</v>
      </c>
      <c r="F65" s="5" t="n">
        <f aca="false">MAX(0,DATE(2026,9,30)-D65)</f>
        <v>42</v>
      </c>
      <c r="G65" s="5" t="str">
        <f aca="false">IF(F65=0,"Non échu",IF(F65&lt;=30,"1-30 j",IF(F65&lt;=60,"31-60 j",IF(F65&lt;=90,"61-90 j","&gt; 90 j"))))</f>
        <v>31-60 j</v>
      </c>
    </row>
    <row r="66" customFormat="false" ht="15" hidden="false" customHeight="false" outlineLevel="0" collapsed="false">
      <c r="A66" s="5" t="s">
        <v>829</v>
      </c>
      <c r="B66" s="5" t="s">
        <v>73</v>
      </c>
      <c r="C66" s="11" t="n">
        <v>46208</v>
      </c>
      <c r="D66" s="11" t="n">
        <v>46238</v>
      </c>
      <c r="E66" s="12" t="n">
        <v>13075.78</v>
      </c>
      <c r="F66" s="5" t="n">
        <f aca="false">MAX(0,DATE(2026,9,30)-D66)</f>
        <v>57</v>
      </c>
      <c r="G66" s="5" t="str">
        <f aca="false">IF(F66=0,"Non échu",IF(F66&lt;=30,"1-30 j",IF(F66&lt;=60,"31-60 j",IF(F66&lt;=90,"61-90 j","&gt; 90 j"))))</f>
        <v>31-60 j</v>
      </c>
    </row>
    <row r="67" customFormat="false" ht="15" hidden="false" customHeight="false" outlineLevel="0" collapsed="false">
      <c r="A67" s="5" t="s">
        <v>836</v>
      </c>
      <c r="B67" s="5" t="s">
        <v>115</v>
      </c>
      <c r="C67" s="11" t="n">
        <v>46209</v>
      </c>
      <c r="D67" s="11" t="n">
        <v>46269</v>
      </c>
      <c r="E67" s="12" t="n">
        <v>5221.19</v>
      </c>
      <c r="F67" s="5" t="n">
        <f aca="false">MAX(0,DATE(2026,9,30)-D67)</f>
        <v>26</v>
      </c>
      <c r="G67" s="5" t="str">
        <f aca="false">IF(F67=0,"Non échu",IF(F67&lt;=30,"1-30 j",IF(F67&lt;=60,"31-60 j",IF(F67&lt;=90,"61-90 j","&gt; 90 j"))))</f>
        <v>1-30 j</v>
      </c>
    </row>
    <row r="68" customFormat="false" ht="15" hidden="false" customHeight="false" outlineLevel="0" collapsed="false">
      <c r="A68" s="5" t="s">
        <v>842</v>
      </c>
      <c r="B68" s="5" t="s">
        <v>56</v>
      </c>
      <c r="C68" s="11" t="n">
        <v>46210</v>
      </c>
      <c r="D68" s="11" t="n">
        <v>46270</v>
      </c>
      <c r="E68" s="12" t="n">
        <v>4691.48</v>
      </c>
      <c r="F68" s="5" t="n">
        <f aca="false">MAX(0,DATE(2026,9,30)-D68)</f>
        <v>25</v>
      </c>
      <c r="G68" s="5" t="str">
        <f aca="false">IF(F68=0,"Non échu",IF(F68&lt;=30,"1-30 j",IF(F68&lt;=60,"31-60 j",IF(F68&lt;=90,"61-90 j","&gt; 90 j"))))</f>
        <v>1-30 j</v>
      </c>
    </row>
    <row r="69" customFormat="false" ht="15" hidden="false" customHeight="false" outlineLevel="0" collapsed="false">
      <c r="A69" s="5" t="s">
        <v>850</v>
      </c>
      <c r="B69" s="5" t="s">
        <v>56</v>
      </c>
      <c r="C69" s="11" t="n">
        <v>46212</v>
      </c>
      <c r="D69" s="11" t="n">
        <v>46272</v>
      </c>
      <c r="E69" s="12" t="n">
        <v>4689.26</v>
      </c>
      <c r="F69" s="5" t="n">
        <f aca="false">MAX(0,DATE(2026,9,30)-D69)</f>
        <v>23</v>
      </c>
      <c r="G69" s="5" t="str">
        <f aca="false">IF(F69=0,"Non échu",IF(F69&lt;=30,"1-30 j",IF(F69&lt;=60,"31-60 j",IF(F69&lt;=90,"61-90 j","&gt; 90 j"))))</f>
        <v>1-30 j</v>
      </c>
    </row>
    <row r="70" customFormat="false" ht="15" hidden="false" customHeight="false" outlineLevel="0" collapsed="false">
      <c r="A70" s="5" t="s">
        <v>855</v>
      </c>
      <c r="B70" s="5" t="s">
        <v>56</v>
      </c>
      <c r="C70" s="11" t="n">
        <v>46214</v>
      </c>
      <c r="D70" s="11" t="n">
        <v>46274</v>
      </c>
      <c r="E70" s="12" t="n">
        <v>1666.79</v>
      </c>
      <c r="F70" s="5" t="n">
        <f aca="false">MAX(0,DATE(2026,9,30)-D70)</f>
        <v>21</v>
      </c>
      <c r="G70" s="5" t="str">
        <f aca="false">IF(F70=0,"Non échu",IF(F70&lt;=30,"1-30 j",IF(F70&lt;=60,"31-60 j",IF(F70&lt;=90,"61-90 j","&gt; 90 j"))))</f>
        <v>1-30 j</v>
      </c>
    </row>
    <row r="71" customFormat="false" ht="15" hidden="false" customHeight="false" outlineLevel="0" collapsed="false">
      <c r="A71" s="5" t="s">
        <v>869</v>
      </c>
      <c r="B71" s="5" t="s">
        <v>56</v>
      </c>
      <c r="C71" s="11" t="n">
        <v>46218</v>
      </c>
      <c r="D71" s="11" t="n">
        <v>46278</v>
      </c>
      <c r="E71" s="12" t="n">
        <v>15703.89</v>
      </c>
      <c r="F71" s="5" t="n">
        <f aca="false">MAX(0,DATE(2026,9,30)-D71)</f>
        <v>17</v>
      </c>
      <c r="G71" s="5" t="str">
        <f aca="false">IF(F71=0,"Non échu",IF(F71&lt;=30,"1-30 j",IF(F71&lt;=60,"31-60 j",IF(F71&lt;=90,"61-90 j","&gt; 90 j"))))</f>
        <v>1-30 j</v>
      </c>
    </row>
    <row r="72" customFormat="false" ht="15" hidden="false" customHeight="false" outlineLevel="0" collapsed="false">
      <c r="A72" s="5" t="s">
        <v>876</v>
      </c>
      <c r="B72" s="5" t="s">
        <v>56</v>
      </c>
      <c r="C72" s="11" t="n">
        <v>46220</v>
      </c>
      <c r="D72" s="11" t="n">
        <v>46280</v>
      </c>
      <c r="E72" s="12" t="n">
        <v>1666.79</v>
      </c>
      <c r="F72" s="5" t="n">
        <f aca="false">MAX(0,DATE(2026,9,30)-D72)</f>
        <v>15</v>
      </c>
      <c r="G72" s="5" t="str">
        <f aca="false">IF(F72=0,"Non échu",IF(F72&lt;=30,"1-30 j",IF(F72&lt;=60,"31-60 j",IF(F72&lt;=90,"61-90 j","&gt; 90 j"))))</f>
        <v>1-30 j</v>
      </c>
    </row>
    <row r="73" customFormat="false" ht="15" hidden="false" customHeight="false" outlineLevel="0" collapsed="false">
      <c r="A73" s="5" t="s">
        <v>884</v>
      </c>
      <c r="B73" s="5" t="s">
        <v>115</v>
      </c>
      <c r="C73" s="11" t="n">
        <v>46222</v>
      </c>
      <c r="D73" s="11" t="n">
        <v>46282</v>
      </c>
      <c r="E73" s="12" t="n">
        <v>2916.86</v>
      </c>
      <c r="F73" s="5" t="n">
        <f aca="false">MAX(0,DATE(2026,9,30)-D73)</f>
        <v>13</v>
      </c>
      <c r="G73" s="5" t="str">
        <f aca="false">IF(F73=0,"Non échu",IF(F73&lt;=30,"1-30 j",IF(F73&lt;=60,"31-60 j",IF(F73&lt;=90,"61-90 j","&gt; 90 j"))))</f>
        <v>1-30 j</v>
      </c>
    </row>
    <row r="74" customFormat="false" ht="15" hidden="false" customHeight="false" outlineLevel="0" collapsed="false">
      <c r="A74" s="5" t="s">
        <v>885</v>
      </c>
      <c r="B74" s="5" t="s">
        <v>56</v>
      </c>
      <c r="C74" s="11" t="n">
        <v>46222</v>
      </c>
      <c r="D74" s="11" t="n">
        <v>46282</v>
      </c>
      <c r="E74" s="12" t="n">
        <v>4689.26</v>
      </c>
      <c r="F74" s="5" t="n">
        <f aca="false">MAX(0,DATE(2026,9,30)-D74)</f>
        <v>13</v>
      </c>
      <c r="G74" s="5" t="str">
        <f aca="false">IF(F74=0,"Non échu",IF(F74&lt;=30,"1-30 j",IF(F74&lt;=60,"31-60 j",IF(F74&lt;=90,"61-90 j","&gt; 90 j"))))</f>
        <v>1-30 j</v>
      </c>
    </row>
    <row r="75" customFormat="false" ht="15" hidden="false" customHeight="false" outlineLevel="0" collapsed="false">
      <c r="A75" s="5" t="s">
        <v>894</v>
      </c>
      <c r="B75" s="5" t="s">
        <v>115</v>
      </c>
      <c r="C75" s="11" t="n">
        <v>46224</v>
      </c>
      <c r="D75" s="11" t="n">
        <v>46284</v>
      </c>
      <c r="E75" s="12" t="n">
        <v>2916.86</v>
      </c>
      <c r="F75" s="5" t="n">
        <f aca="false">MAX(0,DATE(2026,9,30)-D75)</f>
        <v>11</v>
      </c>
      <c r="G75" s="5" t="str">
        <f aca="false">IF(F75=0,"Non échu",IF(F75&lt;=30,"1-30 j",IF(F75&lt;=60,"31-60 j",IF(F75&lt;=90,"61-90 j","&gt; 90 j"))))</f>
        <v>1-30 j</v>
      </c>
    </row>
    <row r="76" customFormat="false" ht="15" hidden="false" customHeight="false" outlineLevel="0" collapsed="false">
      <c r="A76" s="5" t="s">
        <v>896</v>
      </c>
      <c r="B76" s="5" t="s">
        <v>115</v>
      </c>
      <c r="C76" s="11" t="n">
        <v>46225</v>
      </c>
      <c r="D76" s="11" t="n">
        <v>46285</v>
      </c>
      <c r="E76" s="12" t="n">
        <v>8845.8</v>
      </c>
      <c r="F76" s="5" t="n">
        <f aca="false">MAX(0,DATE(2026,9,30)-D76)</f>
        <v>10</v>
      </c>
      <c r="G76" s="5" t="str">
        <f aca="false">IF(F76=0,"Non échu",IF(F76&lt;=30,"1-30 j",IF(F76&lt;=60,"31-60 j",IF(F76&lt;=90,"61-90 j","&gt; 90 j"))))</f>
        <v>1-30 j</v>
      </c>
    </row>
    <row r="77" customFormat="false" ht="15" hidden="false" customHeight="false" outlineLevel="0" collapsed="false">
      <c r="A77" s="5" t="s">
        <v>899</v>
      </c>
      <c r="B77" s="5" t="s">
        <v>85</v>
      </c>
      <c r="C77" s="11" t="n">
        <v>46227</v>
      </c>
      <c r="D77" s="11" t="n">
        <v>46257</v>
      </c>
      <c r="E77" s="12" t="n">
        <v>731.12</v>
      </c>
      <c r="F77" s="5" t="n">
        <f aca="false">MAX(0,DATE(2026,9,30)-D77)</f>
        <v>38</v>
      </c>
      <c r="G77" s="5" t="str">
        <f aca="false">IF(F77=0,"Non échu",IF(F77&lt;=30,"1-30 j",IF(F77&lt;=60,"31-60 j",IF(F77&lt;=90,"61-90 j","&gt; 90 j"))))</f>
        <v>31-60 j</v>
      </c>
    </row>
    <row r="78" customFormat="false" ht="15" hidden="false" customHeight="false" outlineLevel="0" collapsed="false">
      <c r="A78" s="5" t="s">
        <v>902</v>
      </c>
      <c r="B78" s="5" t="s">
        <v>56</v>
      </c>
      <c r="C78" s="11" t="n">
        <v>46227</v>
      </c>
      <c r="D78" s="11" t="n">
        <v>46287</v>
      </c>
      <c r="E78" s="12" t="n">
        <v>4689.26</v>
      </c>
      <c r="F78" s="5" t="n">
        <f aca="false">MAX(0,DATE(2026,9,30)-D78)</f>
        <v>8</v>
      </c>
      <c r="G78" s="5" t="str">
        <f aca="false">IF(F78=0,"Non échu",IF(F78&lt;=30,"1-30 j",IF(F78&lt;=60,"31-60 j",IF(F78&lt;=90,"61-90 j","&gt; 90 j"))))</f>
        <v>1-30 j</v>
      </c>
    </row>
    <row r="79" customFormat="false" ht="15" hidden="false" customHeight="false" outlineLevel="0" collapsed="false">
      <c r="A79" s="5" t="s">
        <v>908</v>
      </c>
      <c r="B79" s="5" t="s">
        <v>115</v>
      </c>
      <c r="C79" s="11" t="n">
        <v>46230</v>
      </c>
      <c r="D79" s="11" t="n">
        <v>46290</v>
      </c>
      <c r="E79" s="12" t="n">
        <v>5221.19</v>
      </c>
      <c r="F79" s="5" t="n">
        <f aca="false">MAX(0,DATE(2026,9,30)-D79)</f>
        <v>5</v>
      </c>
      <c r="G79" s="5" t="str">
        <f aca="false">IF(F79=0,"Non échu",IF(F79&lt;=30,"1-30 j",IF(F79&lt;=60,"31-60 j",IF(F79&lt;=90,"61-90 j","&gt; 90 j"))))</f>
        <v>1-30 j</v>
      </c>
    </row>
    <row r="80" customFormat="false" ht="15" hidden="false" customHeight="false" outlineLevel="0" collapsed="false">
      <c r="A80" s="5" t="s">
        <v>913</v>
      </c>
      <c r="B80" s="5" t="s">
        <v>56</v>
      </c>
      <c r="C80" s="11" t="n">
        <v>46230</v>
      </c>
      <c r="D80" s="11" t="n">
        <v>46290</v>
      </c>
      <c r="E80" s="12" t="n">
        <v>12161.16</v>
      </c>
      <c r="F80" s="5" t="n">
        <f aca="false">MAX(0,DATE(2026,9,30)-D80)</f>
        <v>5</v>
      </c>
      <c r="G80" s="5" t="str">
        <f aca="false">IF(F80=0,"Non échu",IF(F80&lt;=30,"1-30 j",IF(F80&lt;=60,"31-60 j",IF(F80&lt;=90,"61-90 j","&gt; 90 j"))))</f>
        <v>1-30 j</v>
      </c>
    </row>
    <row r="81" customFormat="false" ht="15" hidden="false" customHeight="false" outlineLevel="0" collapsed="false">
      <c r="A81" s="5" t="s">
        <v>919</v>
      </c>
      <c r="B81" s="5" t="s">
        <v>115</v>
      </c>
      <c r="C81" s="11" t="n">
        <v>46235</v>
      </c>
      <c r="D81" s="11" t="n">
        <v>46295</v>
      </c>
      <c r="E81" s="12" t="n">
        <v>6693.12</v>
      </c>
      <c r="F81" s="5" t="n">
        <f aca="false">MAX(0,DATE(2026,9,30)-D81)</f>
        <v>0</v>
      </c>
      <c r="G81" s="5" t="str">
        <f aca="false">IF(F81=0,"Non échu",IF(F81&lt;=30,"1-30 j",IF(F81&lt;=60,"31-60 j",IF(F81&lt;=90,"61-90 j","&gt; 90 j"))))</f>
        <v>Non échu</v>
      </c>
    </row>
    <row r="82" customFormat="false" ht="15" hidden="false" customHeight="false" outlineLevel="0" collapsed="false">
      <c r="A82" s="5" t="s">
        <v>935</v>
      </c>
      <c r="B82" s="5" t="s">
        <v>68</v>
      </c>
      <c r="C82" s="11" t="n">
        <v>46238</v>
      </c>
      <c r="D82" s="11" t="n">
        <v>46268</v>
      </c>
      <c r="E82" s="12" t="n">
        <v>3369.78</v>
      </c>
      <c r="F82" s="5" t="n">
        <f aca="false">MAX(0,DATE(2026,9,30)-D82)</f>
        <v>27</v>
      </c>
      <c r="G82" s="5" t="str">
        <f aca="false">IF(F82=0,"Non échu",IF(F82&lt;=30,"1-30 j",IF(F82&lt;=60,"31-60 j",IF(F82&lt;=90,"61-90 j","&gt; 90 j"))))</f>
        <v>1-30 j</v>
      </c>
    </row>
    <row r="83" customFormat="false" ht="15" hidden="false" customHeight="false" outlineLevel="0" collapsed="false">
      <c r="A83" s="5" t="s">
        <v>940</v>
      </c>
      <c r="B83" s="5" t="s">
        <v>73</v>
      </c>
      <c r="C83" s="11" t="n">
        <v>46239</v>
      </c>
      <c r="D83" s="11" t="n">
        <v>46269</v>
      </c>
      <c r="E83" s="12" t="n">
        <v>8862.91</v>
      </c>
      <c r="F83" s="5" t="n">
        <f aca="false">MAX(0,DATE(2026,9,30)-D83)</f>
        <v>26</v>
      </c>
      <c r="G83" s="5" t="str">
        <f aca="false">IF(F83=0,"Non échu",IF(F83&lt;=30,"1-30 j",IF(F83&lt;=60,"31-60 j",IF(F83&lt;=90,"61-90 j","&gt; 90 j"))))</f>
        <v>1-30 j</v>
      </c>
    </row>
    <row r="84" customFormat="false" ht="15" hidden="false" customHeight="false" outlineLevel="0" collapsed="false">
      <c r="A84" s="5" t="s">
        <v>942</v>
      </c>
      <c r="B84" s="5" t="s">
        <v>115</v>
      </c>
      <c r="C84" s="11" t="n">
        <v>46240</v>
      </c>
      <c r="D84" s="11" t="n">
        <v>46300</v>
      </c>
      <c r="E84" s="12" t="n">
        <v>12639.43</v>
      </c>
      <c r="F84" s="5" t="n">
        <f aca="false">MAX(0,DATE(2026,9,30)-D84)</f>
        <v>0</v>
      </c>
      <c r="G84" s="5" t="str">
        <f aca="false">IF(F84=0,"Non échu",IF(F84&lt;=30,"1-30 j",IF(F84&lt;=60,"31-60 j",IF(F84&lt;=90,"61-90 j","&gt; 90 j"))))</f>
        <v>Non échu</v>
      </c>
    </row>
    <row r="85" customFormat="false" ht="15" hidden="false" customHeight="false" outlineLevel="0" collapsed="false">
      <c r="A85" s="5" t="s">
        <v>946</v>
      </c>
      <c r="B85" s="5" t="s">
        <v>56</v>
      </c>
      <c r="C85" s="11" t="n">
        <v>46240</v>
      </c>
      <c r="D85" s="11" t="n">
        <v>46300</v>
      </c>
      <c r="E85" s="12" t="n">
        <v>3005.48</v>
      </c>
      <c r="F85" s="5" t="n">
        <f aca="false">MAX(0,DATE(2026,9,30)-D85)</f>
        <v>0</v>
      </c>
      <c r="G85" s="5" t="str">
        <f aca="false">IF(F85=0,"Non échu",IF(F85&lt;=30,"1-30 j",IF(F85&lt;=60,"31-60 j",IF(F85&lt;=90,"61-90 j","&gt; 90 j"))))</f>
        <v>Non échu</v>
      </c>
    </row>
    <row r="86" customFormat="false" ht="15" hidden="false" customHeight="false" outlineLevel="0" collapsed="false">
      <c r="A86" s="5" t="s">
        <v>948</v>
      </c>
      <c r="B86" s="5" t="s">
        <v>56</v>
      </c>
      <c r="C86" s="11" t="n">
        <v>46241</v>
      </c>
      <c r="D86" s="11" t="n">
        <v>46301</v>
      </c>
      <c r="E86" s="12" t="n">
        <v>14157.99</v>
      </c>
      <c r="F86" s="5" t="n">
        <f aca="false">MAX(0,DATE(2026,9,30)-D86)</f>
        <v>0</v>
      </c>
      <c r="G86" s="5" t="str">
        <f aca="false">IF(F86=0,"Non échu",IF(F86&lt;=30,"1-30 j",IF(F86&lt;=60,"31-60 j",IF(F86&lt;=90,"61-90 j","&gt; 90 j"))))</f>
        <v>Non échu</v>
      </c>
    </row>
    <row r="87" customFormat="false" ht="15" hidden="false" customHeight="false" outlineLevel="0" collapsed="false">
      <c r="A87" s="5" t="s">
        <v>949</v>
      </c>
      <c r="B87" s="5" t="s">
        <v>56</v>
      </c>
      <c r="C87" s="11" t="n">
        <v>46241</v>
      </c>
      <c r="D87" s="11" t="n">
        <v>46301</v>
      </c>
      <c r="E87" s="12" t="n">
        <v>5399.04</v>
      </c>
      <c r="F87" s="5" t="n">
        <f aca="false">MAX(0,DATE(2026,9,30)-D87)</f>
        <v>0</v>
      </c>
      <c r="G87" s="5" t="str">
        <f aca="false">IF(F87=0,"Non échu",IF(F87&lt;=30,"1-30 j",IF(F87&lt;=60,"31-60 j",IF(F87&lt;=90,"61-90 j","&gt; 90 j"))))</f>
        <v>Non échu</v>
      </c>
    </row>
    <row r="88" customFormat="false" ht="15" hidden="false" customHeight="false" outlineLevel="0" collapsed="false">
      <c r="A88" s="5" t="s">
        <v>959</v>
      </c>
      <c r="B88" s="5" t="s">
        <v>63</v>
      </c>
      <c r="C88" s="11" t="n">
        <v>46243</v>
      </c>
      <c r="D88" s="11" t="n">
        <v>46288</v>
      </c>
      <c r="E88" s="12" t="n">
        <v>6585.52</v>
      </c>
      <c r="F88" s="5" t="n">
        <f aca="false">MAX(0,DATE(2026,9,30)-D88)</f>
        <v>7</v>
      </c>
      <c r="G88" s="5" t="str">
        <f aca="false">IF(F88=0,"Non échu",IF(F88&lt;=30,"1-30 j",IF(F88&lt;=60,"31-60 j",IF(F88&lt;=90,"61-90 j","&gt; 90 j"))))</f>
        <v>1-30 j</v>
      </c>
    </row>
    <row r="89" customFormat="false" ht="15" hidden="false" customHeight="false" outlineLevel="0" collapsed="false">
      <c r="A89" s="5" t="s">
        <v>970</v>
      </c>
      <c r="B89" s="5" t="s">
        <v>85</v>
      </c>
      <c r="C89" s="11" t="n">
        <v>46245</v>
      </c>
      <c r="D89" s="11" t="n">
        <v>46275</v>
      </c>
      <c r="E89" s="12" t="n">
        <v>1824</v>
      </c>
      <c r="F89" s="5" t="n">
        <f aca="false">MAX(0,DATE(2026,9,30)-D89)</f>
        <v>20</v>
      </c>
      <c r="G89" s="5" t="str">
        <f aca="false">IF(F89=0,"Non échu",IF(F89&lt;=30,"1-30 j",IF(F89&lt;=60,"31-60 j",IF(F89&lt;=90,"61-90 j","&gt; 90 j"))))</f>
        <v>1-30 j</v>
      </c>
    </row>
    <row r="90" customFormat="false" ht="15" hidden="false" customHeight="false" outlineLevel="0" collapsed="false">
      <c r="A90" s="5" t="s">
        <v>972</v>
      </c>
      <c r="B90" s="5" t="s">
        <v>56</v>
      </c>
      <c r="C90" s="11" t="n">
        <v>46245</v>
      </c>
      <c r="D90" s="11" t="n">
        <v>46305</v>
      </c>
      <c r="E90" s="12" t="n">
        <v>3003.32</v>
      </c>
      <c r="F90" s="5" t="n">
        <f aca="false">MAX(0,DATE(2026,9,30)-D90)</f>
        <v>0</v>
      </c>
      <c r="G90" s="5" t="str">
        <f aca="false">IF(F90=0,"Non échu",IF(F90&lt;=30,"1-30 j",IF(F90&lt;=60,"31-60 j",IF(F90&lt;=90,"61-90 j","&gt; 90 j"))))</f>
        <v>Non échu</v>
      </c>
    </row>
    <row r="91" customFormat="false" ht="15" hidden="false" customHeight="false" outlineLevel="0" collapsed="false">
      <c r="A91" s="5" t="s">
        <v>973</v>
      </c>
      <c r="B91" s="5" t="s">
        <v>56</v>
      </c>
      <c r="C91" s="11" t="n">
        <v>46246</v>
      </c>
      <c r="D91" s="11" t="n">
        <v>46306</v>
      </c>
      <c r="E91" s="12" t="n">
        <v>1027.99</v>
      </c>
      <c r="F91" s="5" t="n">
        <f aca="false">MAX(0,DATE(2026,9,30)-D91)</f>
        <v>0</v>
      </c>
      <c r="G91" s="5" t="str">
        <f aca="false">IF(F91=0,"Non échu",IF(F91&lt;=30,"1-30 j",IF(F91&lt;=60,"31-60 j",IF(F91&lt;=90,"61-90 j","&gt; 90 j"))))</f>
        <v>Non échu</v>
      </c>
    </row>
    <row r="92" customFormat="false" ht="15" hidden="false" customHeight="false" outlineLevel="0" collapsed="false">
      <c r="A92" s="5" t="s">
        <v>976</v>
      </c>
      <c r="B92" s="5" t="s">
        <v>115</v>
      </c>
      <c r="C92" s="11" t="n">
        <v>46247</v>
      </c>
      <c r="D92" s="11" t="n">
        <v>46307</v>
      </c>
      <c r="E92" s="12" t="n">
        <v>12639.74</v>
      </c>
      <c r="F92" s="5" t="n">
        <f aca="false">MAX(0,DATE(2026,9,30)-D92)</f>
        <v>0</v>
      </c>
      <c r="G92" s="5" t="str">
        <f aca="false">IF(F92=0,"Non échu",IF(F92&lt;=30,"1-30 j",IF(F92&lt;=60,"31-60 j",IF(F92&lt;=90,"61-90 j","&gt; 90 j"))))</f>
        <v>Non échu</v>
      </c>
    </row>
    <row r="93" customFormat="false" ht="15" hidden="false" customHeight="false" outlineLevel="0" collapsed="false">
      <c r="A93" s="5" t="s">
        <v>979</v>
      </c>
      <c r="B93" s="5" t="s">
        <v>73</v>
      </c>
      <c r="C93" s="11" t="n">
        <v>46248</v>
      </c>
      <c r="D93" s="11" t="n">
        <v>46278</v>
      </c>
      <c r="E93" s="12" t="n">
        <v>1489.93</v>
      </c>
      <c r="F93" s="5" t="n">
        <f aca="false">MAX(0,DATE(2026,9,30)-D93)</f>
        <v>17</v>
      </c>
      <c r="G93" s="5" t="str">
        <f aca="false">IF(F93=0,"Non échu",IF(F93&lt;=30,"1-30 j",IF(F93&lt;=60,"31-60 j",IF(F93&lt;=90,"61-90 j","&gt; 90 j"))))</f>
        <v>1-30 j</v>
      </c>
    </row>
    <row r="94" customFormat="false" ht="15" hidden="false" customHeight="false" outlineLevel="0" collapsed="false">
      <c r="A94" s="5" t="s">
        <v>981</v>
      </c>
      <c r="B94" s="5" t="s">
        <v>115</v>
      </c>
      <c r="C94" s="11" t="n">
        <v>46248</v>
      </c>
      <c r="D94" s="11" t="n">
        <v>46308</v>
      </c>
      <c r="E94" s="12" t="n">
        <v>3196.02</v>
      </c>
      <c r="F94" s="5" t="n">
        <f aca="false">MAX(0,DATE(2026,9,30)-D94)</f>
        <v>0</v>
      </c>
      <c r="G94" s="5" t="str">
        <f aca="false">IF(F94=0,"Non échu",IF(F94&lt;=30,"1-30 j",IF(F94&lt;=60,"31-60 j",IF(F94&lt;=90,"61-90 j","&gt; 90 j"))))</f>
        <v>Non échu</v>
      </c>
    </row>
    <row r="95" customFormat="false" ht="15" hidden="false" customHeight="false" outlineLevel="0" collapsed="false">
      <c r="A95" s="5" t="s">
        <v>983</v>
      </c>
      <c r="B95" s="5" t="s">
        <v>94</v>
      </c>
      <c r="C95" s="11" t="n">
        <v>46250</v>
      </c>
      <c r="D95" s="11" t="n">
        <v>46295</v>
      </c>
      <c r="E95" s="12" t="n">
        <v>7703.29</v>
      </c>
      <c r="F95" s="5" t="n">
        <f aca="false">MAX(0,DATE(2026,9,30)-D95)</f>
        <v>0</v>
      </c>
      <c r="G95" s="5" t="str">
        <f aca="false">IF(F95=0,"Non échu",IF(F95&lt;=30,"1-30 j",IF(F95&lt;=60,"31-60 j",IF(F95&lt;=90,"61-90 j","&gt; 90 j"))))</f>
        <v>Non échu</v>
      </c>
    </row>
    <row r="96" customFormat="false" ht="15" hidden="false" customHeight="false" outlineLevel="0" collapsed="false">
      <c r="A96" s="5" t="s">
        <v>984</v>
      </c>
      <c r="B96" s="5" t="s">
        <v>56</v>
      </c>
      <c r="C96" s="11" t="n">
        <v>46250</v>
      </c>
      <c r="D96" s="11" t="n">
        <v>46310</v>
      </c>
      <c r="E96" s="12" t="n">
        <v>14157.99</v>
      </c>
      <c r="F96" s="5" t="n">
        <f aca="false">MAX(0,DATE(2026,9,30)-D96)</f>
        <v>0</v>
      </c>
      <c r="G96" s="5" t="str">
        <f aca="false">IF(F96=0,"Non échu",IF(F96&lt;=30,"1-30 j",IF(F96&lt;=60,"31-60 j",IF(F96&lt;=90,"61-90 j","&gt; 90 j"))))</f>
        <v>Non échu</v>
      </c>
    </row>
    <row r="97" customFormat="false" ht="15" hidden="false" customHeight="false" outlineLevel="0" collapsed="false">
      <c r="A97" s="5" t="s">
        <v>985</v>
      </c>
      <c r="B97" s="5" t="s">
        <v>81</v>
      </c>
      <c r="C97" s="11" t="n">
        <v>46250</v>
      </c>
      <c r="D97" s="11" t="n">
        <v>46295</v>
      </c>
      <c r="E97" s="12" t="n">
        <v>1463.5</v>
      </c>
      <c r="F97" s="5" t="n">
        <f aca="false">MAX(0,DATE(2026,9,30)-D97)</f>
        <v>0</v>
      </c>
      <c r="G97" s="5" t="str">
        <f aca="false">IF(F97=0,"Non échu",IF(F97&lt;=30,"1-30 j",IF(F97&lt;=60,"31-60 j",IF(F97&lt;=90,"61-90 j","&gt; 90 j"))))</f>
        <v>Non échu</v>
      </c>
    </row>
    <row r="98" customFormat="false" ht="15" hidden="false" customHeight="false" outlineLevel="0" collapsed="false">
      <c r="A98" s="5" t="s">
        <v>987</v>
      </c>
      <c r="B98" s="5" t="s">
        <v>115</v>
      </c>
      <c r="C98" s="11" t="n">
        <v>46251</v>
      </c>
      <c r="D98" s="11" t="n">
        <v>46311</v>
      </c>
      <c r="E98" s="12" t="n">
        <v>798</v>
      </c>
      <c r="F98" s="5" t="n">
        <f aca="false">MAX(0,DATE(2026,9,30)-D98)</f>
        <v>0</v>
      </c>
      <c r="G98" s="5" t="str">
        <f aca="false">IF(F98=0,"Non échu",IF(F98&lt;=30,"1-30 j",IF(F98&lt;=60,"31-60 j",IF(F98&lt;=90,"61-90 j","&gt; 90 j"))))</f>
        <v>Non échu</v>
      </c>
    </row>
    <row r="99" customFormat="false" ht="15" hidden="false" customHeight="false" outlineLevel="0" collapsed="false">
      <c r="A99" s="5" t="s">
        <v>989</v>
      </c>
      <c r="B99" s="5" t="s">
        <v>68</v>
      </c>
      <c r="C99" s="11" t="n">
        <v>46251</v>
      </c>
      <c r="D99" s="11" t="n">
        <v>46281</v>
      </c>
      <c r="E99" s="12" t="n">
        <v>465.25</v>
      </c>
      <c r="F99" s="5" t="n">
        <f aca="false">MAX(0,DATE(2026,9,30)-D99)</f>
        <v>14</v>
      </c>
      <c r="G99" s="5" t="str">
        <f aca="false">IF(F99=0,"Non échu",IF(F99&lt;=30,"1-30 j",IF(F99&lt;=60,"31-60 j",IF(F99&lt;=90,"61-90 j","&gt; 90 j"))))</f>
        <v>1-30 j</v>
      </c>
    </row>
    <row r="100" customFormat="false" ht="15" hidden="false" customHeight="false" outlineLevel="0" collapsed="false">
      <c r="A100" s="5" t="s">
        <v>990</v>
      </c>
      <c r="B100" s="5" t="s">
        <v>56</v>
      </c>
      <c r="C100" s="11" t="n">
        <v>46251</v>
      </c>
      <c r="D100" s="11" t="n">
        <v>46311</v>
      </c>
      <c r="E100" s="12" t="n">
        <v>5395.8</v>
      </c>
      <c r="F100" s="5" t="n">
        <f aca="false">MAX(0,DATE(2026,9,30)-D100)</f>
        <v>0</v>
      </c>
      <c r="G100" s="5" t="str">
        <f aca="false">IF(F100=0,"Non échu",IF(F100&lt;=30,"1-30 j",IF(F100&lt;=60,"31-60 j",IF(F100&lt;=90,"61-90 j","&gt; 90 j"))))</f>
        <v>Non échu</v>
      </c>
    </row>
    <row r="101" customFormat="false" ht="15" hidden="false" customHeight="false" outlineLevel="0" collapsed="false">
      <c r="A101" s="5" t="s">
        <v>992</v>
      </c>
      <c r="B101" s="5" t="s">
        <v>63</v>
      </c>
      <c r="C101" s="11" t="n">
        <v>46252</v>
      </c>
      <c r="D101" s="11" t="n">
        <v>46297</v>
      </c>
      <c r="E101" s="12" t="n">
        <v>32641.7</v>
      </c>
      <c r="F101" s="5" t="n">
        <f aca="false">MAX(0,DATE(2026,9,30)-D101)</f>
        <v>0</v>
      </c>
      <c r="G101" s="5" t="str">
        <f aca="false">IF(F101=0,"Non échu",IF(F101&lt;=30,"1-30 j",IF(F101&lt;=60,"31-60 j",IF(F101&lt;=90,"61-90 j","&gt; 90 j"))))</f>
        <v>Non échu</v>
      </c>
    </row>
    <row r="102" customFormat="false" ht="15" hidden="false" customHeight="false" outlineLevel="0" collapsed="false">
      <c r="A102" s="5" t="s">
        <v>993</v>
      </c>
      <c r="B102" s="5" t="s">
        <v>94</v>
      </c>
      <c r="C102" s="11" t="n">
        <v>46252</v>
      </c>
      <c r="D102" s="11" t="n">
        <v>46297</v>
      </c>
      <c r="E102" s="12" t="n">
        <v>793.15</v>
      </c>
      <c r="F102" s="5" t="n">
        <f aca="false">MAX(0,DATE(2026,9,30)-D102)</f>
        <v>0</v>
      </c>
      <c r="G102" s="5" t="str">
        <f aca="false">IF(F102=0,"Non échu",IF(F102&lt;=30,"1-30 j",IF(F102&lt;=60,"31-60 j",IF(F102&lt;=90,"61-90 j","&gt; 90 j"))))</f>
        <v>Non échu</v>
      </c>
    </row>
    <row r="103" customFormat="false" ht="15" hidden="false" customHeight="false" outlineLevel="0" collapsed="false">
      <c r="A103" s="5" t="s">
        <v>998</v>
      </c>
      <c r="B103" s="5" t="s">
        <v>56</v>
      </c>
      <c r="C103" s="11" t="n">
        <v>46253</v>
      </c>
      <c r="D103" s="11" t="n">
        <v>46313</v>
      </c>
      <c r="E103" s="12" t="n">
        <v>1023.24</v>
      </c>
      <c r="F103" s="5" t="n">
        <f aca="false">MAX(0,DATE(2026,9,30)-D103)</f>
        <v>0</v>
      </c>
      <c r="G103" s="5" t="str">
        <f aca="false">IF(F103=0,"Non échu",IF(F103&lt;=30,"1-30 j",IF(F103&lt;=60,"31-60 j",IF(F103&lt;=90,"61-90 j","&gt; 90 j"))))</f>
        <v>Non échu</v>
      </c>
    </row>
    <row r="104" customFormat="false" ht="15" hidden="false" customHeight="false" outlineLevel="0" collapsed="false">
      <c r="A104" s="5" t="s">
        <v>999</v>
      </c>
      <c r="B104" s="5" t="s">
        <v>115</v>
      </c>
      <c r="C104" s="11" t="n">
        <v>46253</v>
      </c>
      <c r="D104" s="11" t="n">
        <v>46313</v>
      </c>
      <c r="E104" s="12" t="n">
        <v>6712.32</v>
      </c>
      <c r="F104" s="5" t="n">
        <f aca="false">MAX(0,DATE(2026,9,30)-D104)</f>
        <v>0</v>
      </c>
      <c r="G104" s="5" t="str">
        <f aca="false">IF(F104=0,"Non échu",IF(F104&lt;=30,"1-30 j",IF(F104&lt;=60,"31-60 j",IF(F104&lt;=90,"61-90 j","&gt; 90 j"))))</f>
        <v>Non échu</v>
      </c>
    </row>
    <row r="105" customFormat="false" ht="15" hidden="false" customHeight="false" outlineLevel="0" collapsed="false">
      <c r="A105" s="5" t="s">
        <v>1000</v>
      </c>
      <c r="B105" s="5" t="s">
        <v>87</v>
      </c>
      <c r="C105" s="11" t="n">
        <v>46253</v>
      </c>
      <c r="D105" s="11" t="n">
        <v>46298</v>
      </c>
      <c r="E105" s="12" t="n">
        <v>3987.9</v>
      </c>
      <c r="F105" s="5" t="n">
        <f aca="false">MAX(0,DATE(2026,9,30)-D105)</f>
        <v>0</v>
      </c>
      <c r="G105" s="5" t="str">
        <f aca="false">IF(F105=0,"Non échu",IF(F105&lt;=30,"1-30 j",IF(F105&lt;=60,"31-60 j",IF(F105&lt;=90,"61-90 j","&gt; 90 j"))))</f>
        <v>Non échu</v>
      </c>
    </row>
    <row r="106" customFormat="false" ht="15" hidden="false" customHeight="false" outlineLevel="0" collapsed="false">
      <c r="A106" s="5" t="s">
        <v>1002</v>
      </c>
      <c r="B106" s="5" t="s">
        <v>81</v>
      </c>
      <c r="C106" s="11" t="n">
        <v>46255</v>
      </c>
      <c r="D106" s="11" t="n">
        <v>46300</v>
      </c>
      <c r="E106" s="12" t="n">
        <v>17710.71</v>
      </c>
      <c r="F106" s="5" t="n">
        <f aca="false">MAX(0,DATE(2026,9,30)-D106)</f>
        <v>0</v>
      </c>
      <c r="G106" s="5" t="str">
        <f aca="false">IF(F106=0,"Non échu",IF(F106&lt;=30,"1-30 j",IF(F106&lt;=60,"31-60 j",IF(F106&lt;=90,"61-90 j","&gt; 90 j"))))</f>
        <v>Non échu</v>
      </c>
    </row>
    <row r="107" customFormat="false" ht="15" hidden="false" customHeight="false" outlineLevel="0" collapsed="false">
      <c r="A107" s="5" t="s">
        <v>1003</v>
      </c>
      <c r="B107" s="5" t="s">
        <v>115</v>
      </c>
      <c r="C107" s="11" t="n">
        <v>46255</v>
      </c>
      <c r="D107" s="11" t="n">
        <v>46315</v>
      </c>
      <c r="E107" s="12" t="n">
        <v>802.01</v>
      </c>
      <c r="F107" s="5" t="n">
        <f aca="false">MAX(0,DATE(2026,9,30)-D107)</f>
        <v>0</v>
      </c>
      <c r="G107" s="5" t="str">
        <f aca="false">IF(F107=0,"Non échu",IF(F107&lt;=30,"1-30 j",IF(F107&lt;=60,"31-60 j",IF(F107&lt;=90,"61-90 j","&gt; 90 j"))))</f>
        <v>Non échu</v>
      </c>
    </row>
    <row r="108" customFormat="false" ht="15" hidden="false" customHeight="false" outlineLevel="0" collapsed="false">
      <c r="A108" s="5" t="s">
        <v>1005</v>
      </c>
      <c r="B108" s="5" t="s">
        <v>63</v>
      </c>
      <c r="C108" s="11" t="n">
        <v>46256</v>
      </c>
      <c r="D108" s="11" t="n">
        <v>46301</v>
      </c>
      <c r="E108" s="12" t="n">
        <v>1866.29</v>
      </c>
      <c r="F108" s="5" t="n">
        <f aca="false">MAX(0,DATE(2026,9,30)-D108)</f>
        <v>0</v>
      </c>
      <c r="G108" s="5" t="str">
        <f aca="false">IF(F108=0,"Non échu",IF(F108&lt;=30,"1-30 j",IF(F108&lt;=60,"31-60 j",IF(F108&lt;=90,"61-90 j","&gt; 90 j"))))</f>
        <v>Non échu</v>
      </c>
    </row>
    <row r="109" customFormat="false" ht="15" hidden="false" customHeight="false" outlineLevel="0" collapsed="false">
      <c r="A109" s="5" t="s">
        <v>1007</v>
      </c>
      <c r="B109" s="5" t="s">
        <v>81</v>
      </c>
      <c r="C109" s="11" t="n">
        <v>46257</v>
      </c>
      <c r="D109" s="11" t="n">
        <v>46302</v>
      </c>
      <c r="E109" s="12" t="n">
        <v>17705.54</v>
      </c>
      <c r="F109" s="5" t="n">
        <f aca="false">MAX(0,DATE(2026,9,30)-D109)</f>
        <v>0</v>
      </c>
      <c r="G109" s="5" t="str">
        <f aca="false">IF(F109=0,"Non échu",IF(F109&lt;=30,"1-30 j",IF(F109&lt;=60,"31-60 j",IF(F109&lt;=90,"61-90 j","&gt; 90 j"))))</f>
        <v>Non échu</v>
      </c>
    </row>
    <row r="110" customFormat="false" ht="15" hidden="false" customHeight="false" outlineLevel="0" collapsed="false">
      <c r="A110" s="5" t="s">
        <v>1008</v>
      </c>
      <c r="B110" s="5" t="s">
        <v>63</v>
      </c>
      <c r="C110" s="11" t="n">
        <v>46257</v>
      </c>
      <c r="D110" s="11" t="n">
        <v>46302</v>
      </c>
      <c r="E110" s="12" t="n">
        <v>32640.33</v>
      </c>
      <c r="F110" s="5" t="n">
        <f aca="false">MAX(0,DATE(2026,9,30)-D110)</f>
        <v>0</v>
      </c>
      <c r="G110" s="5" t="str">
        <f aca="false">IF(F110=0,"Non échu",IF(F110&lt;=30,"1-30 j",IF(F110&lt;=60,"31-60 j",IF(F110&lt;=90,"61-90 j","&gt; 90 j"))))</f>
        <v>Non échu</v>
      </c>
    </row>
    <row r="111" customFormat="false" ht="15" hidden="false" customHeight="false" outlineLevel="0" collapsed="false">
      <c r="A111" s="5" t="s">
        <v>1011</v>
      </c>
      <c r="B111" s="5" t="s">
        <v>81</v>
      </c>
      <c r="C111" s="11" t="n">
        <v>46257</v>
      </c>
      <c r="D111" s="11" t="n">
        <v>46302</v>
      </c>
      <c r="E111" s="12" t="n">
        <v>1463.5</v>
      </c>
      <c r="F111" s="5" t="n">
        <f aca="false">MAX(0,DATE(2026,9,30)-D111)</f>
        <v>0</v>
      </c>
      <c r="G111" s="5" t="str">
        <f aca="false">IF(F111=0,"Non échu",IF(F111&lt;=30,"1-30 j",IF(F111&lt;=60,"31-60 j",IF(F111&lt;=90,"61-90 j","&gt; 90 j"))))</f>
        <v>Non échu</v>
      </c>
    </row>
    <row r="112" customFormat="false" ht="15" hidden="false" customHeight="false" outlineLevel="0" collapsed="false">
      <c r="A112" s="5" t="s">
        <v>1012</v>
      </c>
      <c r="B112" s="5" t="s">
        <v>87</v>
      </c>
      <c r="C112" s="11" t="n">
        <v>46257</v>
      </c>
      <c r="D112" s="11" t="n">
        <v>46302</v>
      </c>
      <c r="E112" s="12" t="n">
        <v>1634.62</v>
      </c>
      <c r="F112" s="5" t="n">
        <f aca="false">MAX(0,DATE(2026,9,30)-D112)</f>
        <v>0</v>
      </c>
      <c r="G112" s="5" t="str">
        <f aca="false">IF(F112=0,"Non échu",IF(F112&lt;=30,"1-30 j",IF(F112&lt;=60,"31-60 j",IF(F112&lt;=90,"61-90 j","&gt; 90 j"))))</f>
        <v>Non échu</v>
      </c>
    </row>
    <row r="113" customFormat="false" ht="15" hidden="false" customHeight="false" outlineLevel="0" collapsed="false">
      <c r="A113" s="5" t="s">
        <v>1014</v>
      </c>
      <c r="B113" s="5" t="s">
        <v>81</v>
      </c>
      <c r="C113" s="11" t="n">
        <v>46257</v>
      </c>
      <c r="D113" s="11" t="n">
        <v>46302</v>
      </c>
      <c r="E113" s="12" t="n">
        <v>8956.2</v>
      </c>
      <c r="F113" s="5" t="n">
        <f aca="false">MAX(0,DATE(2026,9,30)-D113)</f>
        <v>0</v>
      </c>
      <c r="G113" s="5" t="str">
        <f aca="false">IF(F113=0,"Non échu",IF(F113&lt;=30,"1-30 j",IF(F113&lt;=60,"31-60 j",IF(F113&lt;=90,"61-90 j","&gt; 90 j"))))</f>
        <v>Non échu</v>
      </c>
    </row>
    <row r="114" customFormat="false" ht="15" hidden="false" customHeight="false" outlineLevel="0" collapsed="false">
      <c r="A114" s="5" t="s">
        <v>1015</v>
      </c>
      <c r="B114" s="5" t="s">
        <v>94</v>
      </c>
      <c r="C114" s="11" t="n">
        <v>46257</v>
      </c>
      <c r="D114" s="11" t="n">
        <v>46302</v>
      </c>
      <c r="E114" s="12" t="n">
        <v>5796.72</v>
      </c>
      <c r="F114" s="5" t="n">
        <f aca="false">MAX(0,DATE(2026,9,30)-D114)</f>
        <v>0</v>
      </c>
      <c r="G114" s="5" t="str">
        <f aca="false">IF(F114=0,"Non échu",IF(F114&lt;=30,"1-30 j",IF(F114&lt;=60,"31-60 j",IF(F114&lt;=90,"61-90 j","&gt; 90 j"))))</f>
        <v>Non échu</v>
      </c>
    </row>
    <row r="115" customFormat="false" ht="15" hidden="false" customHeight="false" outlineLevel="0" collapsed="false">
      <c r="A115" s="5" t="s">
        <v>1016</v>
      </c>
      <c r="B115" s="5" t="s">
        <v>115</v>
      </c>
      <c r="C115" s="11" t="n">
        <v>46257</v>
      </c>
      <c r="D115" s="11" t="n">
        <v>46317</v>
      </c>
      <c r="E115" s="12" t="n">
        <v>3195.38</v>
      </c>
      <c r="F115" s="5" t="n">
        <f aca="false">MAX(0,DATE(2026,9,30)-D115)</f>
        <v>0</v>
      </c>
      <c r="G115" s="5" t="str">
        <f aca="false">IF(F115=0,"Non échu",IF(F115&lt;=30,"1-30 j",IF(F115&lt;=60,"31-60 j",IF(F115&lt;=90,"61-90 j","&gt; 90 j"))))</f>
        <v>Non échu</v>
      </c>
    </row>
    <row r="116" customFormat="false" ht="15" hidden="false" customHeight="false" outlineLevel="0" collapsed="false">
      <c r="A116" s="5" t="s">
        <v>1017</v>
      </c>
      <c r="B116" s="5" t="s">
        <v>87</v>
      </c>
      <c r="C116" s="11" t="n">
        <v>46258</v>
      </c>
      <c r="D116" s="11" t="n">
        <v>46303</v>
      </c>
      <c r="E116" s="12" t="n">
        <v>16310.51</v>
      </c>
      <c r="F116" s="5" t="n">
        <f aca="false">MAX(0,DATE(2026,9,30)-D116)</f>
        <v>0</v>
      </c>
      <c r="G116" s="5" t="str">
        <f aca="false">IF(F116=0,"Non échu",IF(F116&lt;=30,"1-30 j",IF(F116&lt;=60,"31-60 j",IF(F116&lt;=90,"61-90 j","&gt; 90 j"))))</f>
        <v>Non échu</v>
      </c>
    </row>
    <row r="117" customFormat="false" ht="15" hidden="false" customHeight="false" outlineLevel="0" collapsed="false">
      <c r="A117" s="5" t="s">
        <v>1020</v>
      </c>
      <c r="B117" s="5" t="s">
        <v>94</v>
      </c>
      <c r="C117" s="11" t="n">
        <v>46258</v>
      </c>
      <c r="D117" s="11" t="n">
        <v>46303</v>
      </c>
      <c r="E117" s="12" t="n">
        <v>5796.72</v>
      </c>
      <c r="F117" s="5" t="n">
        <f aca="false">MAX(0,DATE(2026,9,30)-D117)</f>
        <v>0</v>
      </c>
      <c r="G117" s="5" t="str">
        <f aca="false">IF(F117=0,"Non échu",IF(F117&lt;=30,"1-30 j",IF(F117&lt;=60,"31-60 j",IF(F117&lt;=90,"61-90 j","&gt; 90 j"))))</f>
        <v>Non échu</v>
      </c>
    </row>
    <row r="118" customFormat="false" ht="15" hidden="false" customHeight="false" outlineLevel="0" collapsed="false">
      <c r="A118" s="5" t="s">
        <v>1022</v>
      </c>
      <c r="B118" s="5" t="s">
        <v>94</v>
      </c>
      <c r="C118" s="11" t="n">
        <v>46258</v>
      </c>
      <c r="D118" s="11" t="n">
        <v>46303</v>
      </c>
      <c r="E118" s="12" t="n">
        <v>4881.7</v>
      </c>
      <c r="F118" s="5" t="n">
        <f aca="false">MAX(0,DATE(2026,9,30)-D118)</f>
        <v>0</v>
      </c>
      <c r="G118" s="5" t="str">
        <f aca="false">IF(F118=0,"Non échu",IF(F118&lt;=30,"1-30 j",IF(F118&lt;=60,"31-60 j",IF(F118&lt;=90,"61-90 j","&gt; 90 j"))))</f>
        <v>Non échu</v>
      </c>
    </row>
    <row r="119" customFormat="false" ht="15" hidden="false" customHeight="false" outlineLevel="0" collapsed="false">
      <c r="A119" s="5" t="s">
        <v>1023</v>
      </c>
      <c r="B119" s="5" t="s">
        <v>81</v>
      </c>
      <c r="C119" s="11" t="n">
        <v>46259</v>
      </c>
      <c r="D119" s="11" t="n">
        <v>46304</v>
      </c>
      <c r="E119" s="12" t="n">
        <v>17705.54</v>
      </c>
      <c r="F119" s="5" t="n">
        <f aca="false">MAX(0,DATE(2026,9,30)-D119)</f>
        <v>0</v>
      </c>
      <c r="G119" s="5" t="str">
        <f aca="false">IF(F119=0,"Non échu",IF(F119&lt;=30,"1-30 j",IF(F119&lt;=60,"31-60 j",IF(F119&lt;=90,"61-90 j","&gt; 90 j"))))</f>
        <v>Non échu</v>
      </c>
    </row>
    <row r="120" customFormat="false" ht="15" hidden="false" customHeight="false" outlineLevel="0" collapsed="false">
      <c r="A120" s="5" t="s">
        <v>1024</v>
      </c>
      <c r="B120" s="5" t="s">
        <v>87</v>
      </c>
      <c r="C120" s="11" t="n">
        <v>46259</v>
      </c>
      <c r="D120" s="11" t="n">
        <v>46304</v>
      </c>
      <c r="E120" s="12" t="n">
        <v>16309.77</v>
      </c>
      <c r="F120" s="5" t="n">
        <f aca="false">MAX(0,DATE(2026,9,30)-D120)</f>
        <v>0</v>
      </c>
      <c r="G120" s="5" t="str">
        <f aca="false">IF(F120=0,"Non échu",IF(F120&lt;=30,"1-30 j",IF(F120&lt;=60,"31-60 j",IF(F120&lt;=90,"61-90 j","&gt; 90 j"))))</f>
        <v>Non échu</v>
      </c>
    </row>
    <row r="121" customFormat="false" ht="15" hidden="false" customHeight="false" outlineLevel="0" collapsed="false">
      <c r="A121" s="5" t="s">
        <v>1025</v>
      </c>
      <c r="B121" s="5" t="s">
        <v>115</v>
      </c>
      <c r="C121" s="11" t="n">
        <v>46259</v>
      </c>
      <c r="D121" s="11" t="n">
        <v>46319</v>
      </c>
      <c r="E121" s="12" t="n">
        <v>802.01</v>
      </c>
      <c r="F121" s="5" t="n">
        <f aca="false">MAX(0,DATE(2026,9,30)-D121)</f>
        <v>0</v>
      </c>
      <c r="G121" s="5" t="str">
        <f aca="false">IF(F121=0,"Non échu",IF(F121&lt;=30,"1-30 j",IF(F121&lt;=60,"31-60 j",IF(F121&lt;=90,"61-90 j","&gt; 90 j"))))</f>
        <v>Non échu</v>
      </c>
    </row>
    <row r="122" customFormat="false" ht="15" hidden="false" customHeight="false" outlineLevel="0" collapsed="false">
      <c r="A122" s="5" t="s">
        <v>1026</v>
      </c>
      <c r="B122" s="5" t="s">
        <v>87</v>
      </c>
      <c r="C122" s="11" t="n">
        <v>46259</v>
      </c>
      <c r="D122" s="11" t="n">
        <v>46304</v>
      </c>
      <c r="E122" s="12" t="n">
        <v>6693.12</v>
      </c>
      <c r="F122" s="5" t="n">
        <f aca="false">MAX(0,DATE(2026,9,30)-D122)</f>
        <v>0</v>
      </c>
      <c r="G122" s="5" t="str">
        <f aca="false">IF(F122=0,"Non échu",IF(F122&lt;=30,"1-30 j",IF(F122&lt;=60,"31-60 j",IF(F122&lt;=90,"61-90 j","&gt; 90 j"))))</f>
        <v>Non échu</v>
      </c>
    </row>
    <row r="123" customFormat="false" ht="15" hidden="false" customHeight="false" outlineLevel="0" collapsed="false">
      <c r="A123" s="5" t="s">
        <v>1027</v>
      </c>
      <c r="B123" s="5" t="s">
        <v>87</v>
      </c>
      <c r="C123" s="11" t="n">
        <v>46259</v>
      </c>
      <c r="D123" s="11" t="n">
        <v>46304</v>
      </c>
      <c r="E123" s="12" t="n">
        <v>6706.8</v>
      </c>
      <c r="F123" s="5" t="n">
        <f aca="false">MAX(0,DATE(2026,9,30)-D123)</f>
        <v>0</v>
      </c>
      <c r="G123" s="5" t="str">
        <f aca="false">IF(F123=0,"Non échu",IF(F123&lt;=30,"1-30 j",IF(F123&lt;=60,"31-60 j",IF(F123&lt;=90,"61-90 j","&gt; 90 j"))))</f>
        <v>Non échu</v>
      </c>
    </row>
    <row r="124" customFormat="false" ht="15" hidden="false" customHeight="false" outlineLevel="0" collapsed="false">
      <c r="A124" s="5" t="s">
        <v>1028</v>
      </c>
      <c r="B124" s="5" t="s">
        <v>63</v>
      </c>
      <c r="C124" s="11" t="n">
        <v>46259</v>
      </c>
      <c r="D124" s="11" t="n">
        <v>46304</v>
      </c>
      <c r="E124" s="12" t="n">
        <v>6585.52</v>
      </c>
      <c r="F124" s="5" t="n">
        <f aca="false">MAX(0,DATE(2026,9,30)-D124)</f>
        <v>0</v>
      </c>
      <c r="G124" s="5" t="str">
        <f aca="false">IF(F124=0,"Non échu",IF(F124&lt;=30,"1-30 j",IF(F124&lt;=60,"31-60 j",IF(F124&lt;=90,"61-90 j","&gt; 90 j"))))</f>
        <v>Non échu</v>
      </c>
    </row>
    <row r="125" customFormat="false" ht="15" hidden="false" customHeight="false" outlineLevel="0" collapsed="false">
      <c r="A125" s="5" t="s">
        <v>1029</v>
      </c>
      <c r="B125" s="5" t="s">
        <v>56</v>
      </c>
      <c r="C125" s="11" t="n">
        <v>46259</v>
      </c>
      <c r="D125" s="11" t="n">
        <v>46319</v>
      </c>
      <c r="E125" s="12" t="n">
        <v>3005.17</v>
      </c>
      <c r="F125" s="5" t="n">
        <f aca="false">MAX(0,DATE(2026,9,30)-D125)</f>
        <v>0</v>
      </c>
      <c r="G125" s="5" t="str">
        <f aca="false">IF(F125=0,"Non échu",IF(F125&lt;=30,"1-30 j",IF(F125&lt;=60,"31-60 j",IF(F125&lt;=90,"61-90 j","&gt; 90 j"))))</f>
        <v>Non échu</v>
      </c>
    </row>
    <row r="126" customFormat="false" ht="15" hidden="false" customHeight="false" outlineLevel="0" collapsed="false">
      <c r="A126" s="5" t="s">
        <v>1030</v>
      </c>
      <c r="B126" s="5" t="s">
        <v>85</v>
      </c>
      <c r="C126" s="11" t="n">
        <v>46260</v>
      </c>
      <c r="D126" s="11" t="n">
        <v>46290</v>
      </c>
      <c r="E126" s="12" t="n">
        <v>5324.59</v>
      </c>
      <c r="F126" s="5" t="n">
        <f aca="false">MAX(0,DATE(2026,9,30)-D126)</f>
        <v>5</v>
      </c>
      <c r="G126" s="5" t="str">
        <f aca="false">IF(F126=0,"Non échu",IF(F126&lt;=30,"1-30 j",IF(F126&lt;=60,"31-60 j",IF(F126&lt;=90,"61-90 j","&gt; 90 j"))))</f>
        <v>1-30 j</v>
      </c>
    </row>
    <row r="127" customFormat="false" ht="15" hidden="false" customHeight="false" outlineLevel="0" collapsed="false">
      <c r="A127" s="5" t="s">
        <v>1032</v>
      </c>
      <c r="B127" s="5" t="s">
        <v>87</v>
      </c>
      <c r="C127" s="11" t="n">
        <v>46260</v>
      </c>
      <c r="D127" s="11" t="n">
        <v>46305</v>
      </c>
      <c r="E127" s="12" t="n">
        <v>3987.9</v>
      </c>
      <c r="F127" s="5" t="n">
        <f aca="false">MAX(0,DATE(2026,9,30)-D127)</f>
        <v>0</v>
      </c>
      <c r="G127" s="5" t="str">
        <f aca="false">IF(F127=0,"Non échu",IF(F127&lt;=30,"1-30 j",IF(F127&lt;=60,"31-60 j",IF(F127&lt;=90,"61-90 j","&gt; 90 j"))))</f>
        <v>Non échu</v>
      </c>
    </row>
    <row r="128" customFormat="false" ht="15" hidden="false" customHeight="false" outlineLevel="0" collapsed="false">
      <c r="A128" s="5" t="s">
        <v>1033</v>
      </c>
      <c r="B128" s="5" t="s">
        <v>115</v>
      </c>
      <c r="C128" s="11" t="n">
        <v>46260</v>
      </c>
      <c r="D128" s="11" t="n">
        <v>46320</v>
      </c>
      <c r="E128" s="12" t="n">
        <v>3195.38</v>
      </c>
      <c r="F128" s="5" t="n">
        <f aca="false">MAX(0,DATE(2026,9,30)-D128)</f>
        <v>0</v>
      </c>
      <c r="G128" s="5" t="str">
        <f aca="false">IF(F128=0,"Non échu",IF(F128&lt;=30,"1-30 j",IF(F128&lt;=60,"31-60 j",IF(F128&lt;=90,"61-90 j","&gt; 90 j"))))</f>
        <v>Non échu</v>
      </c>
    </row>
    <row r="129" customFormat="false" ht="15" hidden="false" customHeight="false" outlineLevel="0" collapsed="false">
      <c r="A129" s="5" t="s">
        <v>1034</v>
      </c>
      <c r="B129" s="5" t="s">
        <v>56</v>
      </c>
      <c r="C129" s="11" t="n">
        <v>46261</v>
      </c>
      <c r="D129" s="11" t="n">
        <v>46321</v>
      </c>
      <c r="E129" s="12" t="n">
        <v>5378.4</v>
      </c>
      <c r="F129" s="5" t="n">
        <f aca="false">MAX(0,DATE(2026,9,30)-D129)</f>
        <v>0</v>
      </c>
      <c r="G129" s="5" t="str">
        <f aca="false">IF(F129=0,"Non échu",IF(F129&lt;=30,"1-30 j",IF(F129&lt;=60,"31-60 j",IF(F129&lt;=90,"61-90 j","&gt; 90 j"))))</f>
        <v>Non échu</v>
      </c>
    </row>
    <row r="130" customFormat="false" ht="15" hidden="false" customHeight="false" outlineLevel="0" collapsed="false">
      <c r="A130" s="5" t="s">
        <v>1035</v>
      </c>
      <c r="B130" s="5" t="s">
        <v>81</v>
      </c>
      <c r="C130" s="11" t="n">
        <v>46261</v>
      </c>
      <c r="D130" s="11" t="n">
        <v>46306</v>
      </c>
      <c r="E130" s="12" t="n">
        <v>8851.87</v>
      </c>
      <c r="F130" s="5" t="n">
        <f aca="false">MAX(0,DATE(2026,9,30)-D130)</f>
        <v>0</v>
      </c>
      <c r="G130" s="5" t="str">
        <f aca="false">IF(F130=0,"Non échu",IF(F130&lt;=30,"1-30 j",IF(F130&lt;=60,"31-60 j",IF(F130&lt;=90,"61-90 j","&gt; 90 j"))))</f>
        <v>Non échu</v>
      </c>
    </row>
    <row r="131" customFormat="false" ht="15" hidden="false" customHeight="false" outlineLevel="0" collapsed="false">
      <c r="A131" s="5" t="s">
        <v>1036</v>
      </c>
      <c r="B131" s="5" t="s">
        <v>56</v>
      </c>
      <c r="C131" s="11" t="n">
        <v>46261</v>
      </c>
      <c r="D131" s="11" t="n">
        <v>46321</v>
      </c>
      <c r="E131" s="12" t="n">
        <v>3003.32</v>
      </c>
      <c r="F131" s="5" t="n">
        <f aca="false">MAX(0,DATE(2026,9,30)-D131)</f>
        <v>0</v>
      </c>
      <c r="G131" s="5" t="str">
        <f aca="false">IF(F131=0,"Non échu",IF(F131&lt;=30,"1-30 j",IF(F131&lt;=60,"31-60 j",IF(F131&lt;=90,"61-90 j","&gt; 90 j"))))</f>
        <v>Non échu</v>
      </c>
    </row>
    <row r="132" customFormat="false" ht="15" hidden="false" customHeight="false" outlineLevel="0" collapsed="false">
      <c r="A132" s="5" t="s">
        <v>1037</v>
      </c>
      <c r="B132" s="5" t="s">
        <v>73</v>
      </c>
      <c r="C132" s="11" t="n">
        <v>46262</v>
      </c>
      <c r="D132" s="11" t="n">
        <v>46292</v>
      </c>
      <c r="E132" s="12" t="n">
        <v>12803.82</v>
      </c>
      <c r="F132" s="5" t="n">
        <f aca="false">MAX(0,DATE(2026,9,30)-D132)</f>
        <v>3</v>
      </c>
      <c r="G132" s="5" t="str">
        <f aca="false">IF(F132=0,"Non échu",IF(F132&lt;=30,"1-30 j",IF(F132&lt;=60,"31-60 j",IF(F132&lt;=90,"61-90 j","&gt; 90 j"))))</f>
        <v>1-30 j</v>
      </c>
    </row>
    <row r="133" customFormat="false" ht="15" hidden="false" customHeight="false" outlineLevel="0" collapsed="false">
      <c r="A133" s="5" t="s">
        <v>1038</v>
      </c>
      <c r="B133" s="5" t="s">
        <v>81</v>
      </c>
      <c r="C133" s="11" t="n">
        <v>46262</v>
      </c>
      <c r="D133" s="11" t="n">
        <v>46307</v>
      </c>
      <c r="E133" s="12" t="n">
        <v>1463.5</v>
      </c>
      <c r="F133" s="5" t="n">
        <f aca="false">MAX(0,DATE(2026,9,30)-D133)</f>
        <v>0</v>
      </c>
      <c r="G133" s="5" t="str">
        <f aca="false">IF(F133=0,"Non échu",IF(F133&lt;=30,"1-30 j",IF(F133&lt;=60,"31-60 j",IF(F133&lt;=90,"61-90 j","&gt; 90 j"))))</f>
        <v>Non échu</v>
      </c>
    </row>
    <row r="134" customFormat="false" ht="15" hidden="false" customHeight="false" outlineLevel="0" collapsed="false">
      <c r="A134" s="5" t="s">
        <v>1039</v>
      </c>
      <c r="B134" s="5" t="s">
        <v>56</v>
      </c>
      <c r="C134" s="11" t="n">
        <v>46262</v>
      </c>
      <c r="D134" s="11" t="n">
        <v>46322</v>
      </c>
      <c r="E134" s="12" t="n">
        <v>1023.24</v>
      </c>
      <c r="F134" s="5" t="n">
        <f aca="false">MAX(0,DATE(2026,9,30)-D134)</f>
        <v>0</v>
      </c>
      <c r="G134" s="5" t="str">
        <f aca="false">IF(F134=0,"Non échu",IF(F134&lt;=30,"1-30 j",IF(F134&lt;=60,"31-60 j",IF(F134&lt;=90,"61-90 j","&gt; 90 j"))))</f>
        <v>Non échu</v>
      </c>
    </row>
    <row r="135" customFormat="false" ht="15" hidden="false" customHeight="false" outlineLevel="0" collapsed="false">
      <c r="A135" s="5" t="s">
        <v>1041</v>
      </c>
      <c r="B135" s="5" t="s">
        <v>87</v>
      </c>
      <c r="C135" s="11" t="n">
        <v>46262</v>
      </c>
      <c r="D135" s="11" t="n">
        <v>46307</v>
      </c>
      <c r="E135" s="12" t="n">
        <v>6693.12</v>
      </c>
      <c r="F135" s="5" t="n">
        <f aca="false">MAX(0,DATE(2026,9,30)-D135)</f>
        <v>0</v>
      </c>
      <c r="G135" s="5" t="str">
        <f aca="false">IF(F135=0,"Non échu",IF(F135&lt;=30,"1-30 j",IF(F135&lt;=60,"31-60 j",IF(F135&lt;=90,"61-90 j","&gt; 90 j"))))</f>
        <v>Non échu</v>
      </c>
    </row>
    <row r="136" customFormat="false" ht="15" hidden="false" customHeight="false" outlineLevel="0" collapsed="false">
      <c r="A136" s="5" t="s">
        <v>1042</v>
      </c>
      <c r="B136" s="5" t="s">
        <v>99</v>
      </c>
      <c r="C136" s="11" t="n">
        <v>46262</v>
      </c>
      <c r="D136" s="11" t="n">
        <v>46292</v>
      </c>
      <c r="E136" s="12" t="n">
        <v>4690.42</v>
      </c>
      <c r="F136" s="5" t="n">
        <f aca="false">MAX(0,DATE(2026,9,30)-D136)</f>
        <v>3</v>
      </c>
      <c r="G136" s="5" t="str">
        <f aca="false">IF(F136=0,"Non échu",IF(F136&lt;=30,"1-30 j",IF(F136&lt;=60,"31-60 j",IF(F136&lt;=90,"61-90 j","&gt; 90 j"))))</f>
        <v>1-30 j</v>
      </c>
    </row>
    <row r="137" customFormat="false" ht="15" hidden="false" customHeight="false" outlineLevel="0" collapsed="false">
      <c r="A137" s="5" t="s">
        <v>1043</v>
      </c>
      <c r="B137" s="5" t="s">
        <v>87</v>
      </c>
      <c r="C137" s="11" t="n">
        <v>46266</v>
      </c>
      <c r="D137" s="11" t="n">
        <v>46311</v>
      </c>
      <c r="E137" s="12" t="n">
        <v>10442.39</v>
      </c>
      <c r="F137" s="5" t="n">
        <f aca="false">MAX(0,DATE(2026,9,30)-D137)</f>
        <v>0</v>
      </c>
      <c r="G137" s="5" t="str">
        <f aca="false">IF(F137=0,"Non échu",IF(F137&lt;=30,"1-30 j",IF(F137&lt;=60,"31-60 j",IF(F137&lt;=90,"61-90 j","&gt; 90 j"))))</f>
        <v>Non échu</v>
      </c>
    </row>
    <row r="138" customFormat="false" ht="15" hidden="false" customHeight="false" outlineLevel="0" collapsed="false">
      <c r="A138" s="5" t="s">
        <v>1044</v>
      </c>
      <c r="B138" s="5" t="s">
        <v>68</v>
      </c>
      <c r="C138" s="11" t="n">
        <v>46266</v>
      </c>
      <c r="D138" s="11" t="n">
        <v>46296</v>
      </c>
      <c r="E138" s="12" t="n">
        <v>7078.52</v>
      </c>
      <c r="F138" s="5" t="n">
        <f aca="false">MAX(0,DATE(2026,9,30)-D138)</f>
        <v>0</v>
      </c>
      <c r="G138" s="5" t="str">
        <f aca="false">IF(F138=0,"Non échu",IF(F138&lt;=30,"1-30 j",IF(F138&lt;=60,"31-60 j",IF(F138&lt;=90,"61-90 j","&gt; 90 j"))))</f>
        <v>Non échu</v>
      </c>
    </row>
    <row r="139" customFormat="false" ht="15" hidden="false" customHeight="false" outlineLevel="0" collapsed="false">
      <c r="A139" s="5" t="s">
        <v>1045</v>
      </c>
      <c r="B139" s="5" t="s">
        <v>94</v>
      </c>
      <c r="C139" s="11" t="n">
        <v>46266</v>
      </c>
      <c r="D139" s="11" t="n">
        <v>46311</v>
      </c>
      <c r="E139" s="12" t="n">
        <v>3958.08</v>
      </c>
      <c r="F139" s="5" t="n">
        <f aca="false">MAX(0,DATE(2026,9,30)-D139)</f>
        <v>0</v>
      </c>
      <c r="G139" s="5" t="str">
        <f aca="false">IF(F139=0,"Non échu",IF(F139&lt;=30,"1-30 j",IF(F139&lt;=60,"31-60 j",IF(F139&lt;=90,"61-90 j","&gt; 90 j"))))</f>
        <v>Non échu</v>
      </c>
    </row>
    <row r="140" customFormat="false" ht="15" hidden="false" customHeight="false" outlineLevel="0" collapsed="false">
      <c r="A140" s="5" t="s">
        <v>1046</v>
      </c>
      <c r="B140" s="5" t="s">
        <v>115</v>
      </c>
      <c r="C140" s="11" t="n">
        <v>46266</v>
      </c>
      <c r="D140" s="11" t="n">
        <v>46326</v>
      </c>
      <c r="E140" s="12" t="n">
        <v>3903.36</v>
      </c>
      <c r="F140" s="5" t="n">
        <f aca="false">MAX(0,DATE(2026,9,30)-D140)</f>
        <v>0</v>
      </c>
      <c r="G140" s="5" t="str">
        <f aca="false">IF(F140=0,"Non échu",IF(F140&lt;=30,"1-30 j",IF(F140&lt;=60,"31-60 j",IF(F140&lt;=90,"61-90 j","&gt; 90 j"))))</f>
        <v>Non échu</v>
      </c>
    </row>
    <row r="141" customFormat="false" ht="15" hidden="false" customHeight="false" outlineLevel="0" collapsed="false">
      <c r="A141" s="5" t="s">
        <v>1047</v>
      </c>
      <c r="B141" s="5" t="s">
        <v>68</v>
      </c>
      <c r="C141" s="11" t="n">
        <v>46266</v>
      </c>
      <c r="D141" s="11" t="n">
        <v>46296</v>
      </c>
      <c r="E141" s="12" t="n">
        <v>2936.64</v>
      </c>
      <c r="F141" s="5" t="n">
        <f aca="false">MAX(0,DATE(2026,9,30)-D141)</f>
        <v>0</v>
      </c>
      <c r="G141" s="5" t="str">
        <f aca="false">IF(F141=0,"Non échu",IF(F141&lt;=30,"1-30 j",IF(F141&lt;=60,"31-60 j",IF(F141&lt;=90,"61-90 j","&gt; 90 j"))))</f>
        <v>Non échu</v>
      </c>
    </row>
    <row r="142" customFormat="false" ht="15" hidden="false" customHeight="false" outlineLevel="0" collapsed="false">
      <c r="A142" s="5" t="s">
        <v>1048</v>
      </c>
      <c r="B142" s="5" t="s">
        <v>63</v>
      </c>
      <c r="C142" s="11" t="n">
        <v>46266</v>
      </c>
      <c r="D142" s="11" t="n">
        <v>46311</v>
      </c>
      <c r="E142" s="12" t="n">
        <v>7013.64</v>
      </c>
      <c r="F142" s="5" t="n">
        <f aca="false">MAX(0,DATE(2026,9,30)-D142)</f>
        <v>0</v>
      </c>
      <c r="G142" s="5" t="str">
        <f aca="false">IF(F142=0,"Non échu",IF(F142&lt;=30,"1-30 j",IF(F142&lt;=60,"31-60 j",IF(F142&lt;=90,"61-90 j","&gt; 90 j"))))</f>
        <v>Non échu</v>
      </c>
    </row>
    <row r="143" customFormat="false" ht="15" hidden="false" customHeight="false" outlineLevel="0" collapsed="false">
      <c r="A143" s="5" t="s">
        <v>1049</v>
      </c>
      <c r="B143" s="5" t="s">
        <v>63</v>
      </c>
      <c r="C143" s="11" t="n">
        <v>46267</v>
      </c>
      <c r="D143" s="11" t="n">
        <v>46312</v>
      </c>
      <c r="E143" s="12" t="n">
        <v>2293.99</v>
      </c>
      <c r="F143" s="5" t="n">
        <f aca="false">MAX(0,DATE(2026,9,30)-D143)</f>
        <v>0</v>
      </c>
      <c r="G143" s="5" t="str">
        <f aca="false">IF(F143=0,"Non échu",IF(F143&lt;=30,"1-30 j",IF(F143&lt;=60,"31-60 j",IF(F143&lt;=90,"61-90 j","&gt; 90 j"))))</f>
        <v>Non échu</v>
      </c>
    </row>
    <row r="144" customFormat="false" ht="15" hidden="false" customHeight="false" outlineLevel="0" collapsed="false">
      <c r="A144" s="5" t="s">
        <v>1050</v>
      </c>
      <c r="B144" s="5" t="s">
        <v>68</v>
      </c>
      <c r="C144" s="11" t="n">
        <v>46267</v>
      </c>
      <c r="D144" s="11" t="n">
        <v>46297</v>
      </c>
      <c r="E144" s="12" t="n">
        <v>875.23</v>
      </c>
      <c r="F144" s="5" t="n">
        <f aca="false">MAX(0,DATE(2026,9,30)-D144)</f>
        <v>0</v>
      </c>
      <c r="G144" s="5" t="str">
        <f aca="false">IF(F144=0,"Non échu",IF(F144&lt;=30,"1-30 j",IF(F144&lt;=60,"31-60 j",IF(F144&lt;=90,"61-90 j","&gt; 90 j"))))</f>
        <v>Non échu</v>
      </c>
    </row>
    <row r="145" customFormat="false" ht="15" hidden="false" customHeight="false" outlineLevel="0" collapsed="false">
      <c r="A145" s="5" t="s">
        <v>1051</v>
      </c>
      <c r="B145" s="5" t="s">
        <v>85</v>
      </c>
      <c r="C145" s="11" t="n">
        <v>46267</v>
      </c>
      <c r="D145" s="11" t="n">
        <v>46297</v>
      </c>
      <c r="E145" s="12" t="n">
        <v>2498.88</v>
      </c>
      <c r="F145" s="5" t="n">
        <f aca="false">MAX(0,DATE(2026,9,30)-D145)</f>
        <v>0</v>
      </c>
      <c r="G145" s="5" t="str">
        <f aca="false">IF(F145=0,"Non échu",IF(F145&lt;=30,"1-30 j",IF(F145&lt;=60,"31-60 j",IF(F145&lt;=90,"61-90 j","&gt; 90 j"))))</f>
        <v>Non échu</v>
      </c>
    </row>
    <row r="146" customFormat="false" ht="15" hidden="false" customHeight="false" outlineLevel="0" collapsed="false">
      <c r="A146" s="5" t="s">
        <v>1052</v>
      </c>
      <c r="B146" s="5" t="s">
        <v>68</v>
      </c>
      <c r="C146" s="11" t="n">
        <v>46267</v>
      </c>
      <c r="D146" s="11" t="n">
        <v>46297</v>
      </c>
      <c r="E146" s="12" t="n">
        <v>1922.74</v>
      </c>
      <c r="F146" s="5" t="n">
        <f aca="false">MAX(0,DATE(2026,9,30)-D146)</f>
        <v>0</v>
      </c>
      <c r="G146" s="5" t="str">
        <f aca="false">IF(F146=0,"Non échu",IF(F146&lt;=30,"1-30 j",IF(F146&lt;=60,"31-60 j",IF(F146&lt;=90,"61-90 j","&gt; 90 j"))))</f>
        <v>Non échu</v>
      </c>
    </row>
    <row r="147" customFormat="false" ht="15" hidden="false" customHeight="false" outlineLevel="0" collapsed="false">
      <c r="A147" s="5" t="s">
        <v>1054</v>
      </c>
      <c r="B147" s="5" t="s">
        <v>63</v>
      </c>
      <c r="C147" s="11" t="n">
        <v>46268</v>
      </c>
      <c r="D147" s="11" t="n">
        <v>46313</v>
      </c>
      <c r="E147" s="12" t="n">
        <v>2291.04</v>
      </c>
      <c r="F147" s="5" t="n">
        <f aca="false">MAX(0,DATE(2026,9,30)-D147)</f>
        <v>0</v>
      </c>
      <c r="G147" s="5" t="str">
        <f aca="false">IF(F147=0,"Non échu",IF(F147&lt;=30,"1-30 j",IF(F147&lt;=60,"31-60 j",IF(F147&lt;=90,"61-90 j","&gt; 90 j"))))</f>
        <v>Non échu</v>
      </c>
    </row>
    <row r="148" customFormat="false" ht="15" hidden="false" customHeight="false" outlineLevel="0" collapsed="false">
      <c r="A148" s="5" t="s">
        <v>1055</v>
      </c>
      <c r="B148" s="5" t="s">
        <v>63</v>
      </c>
      <c r="C148" s="11" t="n">
        <v>46268</v>
      </c>
      <c r="D148" s="11" t="n">
        <v>46313</v>
      </c>
      <c r="E148" s="12" t="n">
        <v>11440.2</v>
      </c>
      <c r="F148" s="5" t="n">
        <f aca="false">MAX(0,DATE(2026,9,30)-D148)</f>
        <v>0</v>
      </c>
      <c r="G148" s="5" t="str">
        <f aca="false">IF(F148=0,"Non échu",IF(F148&lt;=30,"1-30 j",IF(F148&lt;=60,"31-60 j",IF(F148&lt;=90,"61-90 j","&gt; 90 j"))))</f>
        <v>Non échu</v>
      </c>
    </row>
    <row r="149" customFormat="false" ht="15" hidden="false" customHeight="false" outlineLevel="0" collapsed="false">
      <c r="A149" s="5" t="s">
        <v>1056</v>
      </c>
      <c r="B149" s="5" t="s">
        <v>85</v>
      </c>
      <c r="C149" s="11" t="n">
        <v>46268</v>
      </c>
      <c r="D149" s="11" t="n">
        <v>46298</v>
      </c>
      <c r="E149" s="12" t="n">
        <v>1861.13</v>
      </c>
      <c r="F149" s="5" t="n">
        <f aca="false">MAX(0,DATE(2026,9,30)-D149)</f>
        <v>0</v>
      </c>
      <c r="G149" s="5" t="str">
        <f aca="false">IF(F149=0,"Non échu",IF(F149&lt;=30,"1-30 j",IF(F149&lt;=60,"31-60 j",IF(F149&lt;=90,"61-90 j","&gt; 90 j"))))</f>
        <v>Non échu</v>
      </c>
    </row>
    <row r="150" customFormat="false" ht="15" hidden="false" customHeight="false" outlineLevel="0" collapsed="false">
      <c r="A150" s="5" t="s">
        <v>1057</v>
      </c>
      <c r="B150" s="5" t="s">
        <v>94</v>
      </c>
      <c r="C150" s="11" t="n">
        <v>46269</v>
      </c>
      <c r="D150" s="11" t="n">
        <v>46314</v>
      </c>
      <c r="E150" s="12" t="n">
        <v>16258.08</v>
      </c>
      <c r="F150" s="5" t="n">
        <f aca="false">MAX(0,DATE(2026,9,30)-D150)</f>
        <v>0</v>
      </c>
      <c r="G150" s="5" t="str">
        <f aca="false">IF(F150=0,"Non échu",IF(F150&lt;=30,"1-30 j",IF(F150&lt;=60,"31-60 j",IF(F150&lt;=90,"61-90 j","&gt; 90 j"))))</f>
        <v>Non échu</v>
      </c>
    </row>
    <row r="151" customFormat="false" ht="15" hidden="false" customHeight="false" outlineLevel="0" collapsed="false">
      <c r="A151" s="5" t="s">
        <v>1058</v>
      </c>
      <c r="B151" s="5" t="s">
        <v>87</v>
      </c>
      <c r="C151" s="11" t="n">
        <v>46269</v>
      </c>
      <c r="D151" s="11" t="n">
        <v>46314</v>
      </c>
      <c r="E151" s="12" t="n">
        <v>10463.28</v>
      </c>
      <c r="F151" s="5" t="n">
        <f aca="false">MAX(0,DATE(2026,9,30)-D151)</f>
        <v>0</v>
      </c>
      <c r="G151" s="5" t="str">
        <f aca="false">IF(F151=0,"Non échu",IF(F151&lt;=30,"1-30 j",IF(F151&lt;=60,"31-60 j",IF(F151&lt;=90,"61-90 j","&gt; 90 j"))))</f>
        <v>Non échu</v>
      </c>
    </row>
    <row r="152" customFormat="false" ht="15" hidden="false" customHeight="false" outlineLevel="0" collapsed="false">
      <c r="A152" s="5" t="s">
        <v>1059</v>
      </c>
      <c r="B152" s="5" t="s">
        <v>115</v>
      </c>
      <c r="C152" s="11" t="n">
        <v>46269</v>
      </c>
      <c r="D152" s="11" t="n">
        <v>46329</v>
      </c>
      <c r="E152" s="12" t="n">
        <v>2548.46</v>
      </c>
      <c r="F152" s="5" t="n">
        <f aca="false">MAX(0,DATE(2026,9,30)-D152)</f>
        <v>0</v>
      </c>
      <c r="G152" s="5" t="str">
        <f aca="false">IF(F152=0,"Non échu",IF(F152&lt;=30,"1-30 j",IF(F152&lt;=60,"31-60 j",IF(F152&lt;=90,"61-90 j","&gt; 90 j"))))</f>
        <v>Non échu</v>
      </c>
    </row>
    <row r="153" customFormat="false" ht="15" hidden="false" customHeight="false" outlineLevel="0" collapsed="false">
      <c r="A153" s="5" t="s">
        <v>1060</v>
      </c>
      <c r="B153" s="5" t="s">
        <v>87</v>
      </c>
      <c r="C153" s="11" t="n">
        <v>46269</v>
      </c>
      <c r="D153" s="11" t="n">
        <v>46314</v>
      </c>
      <c r="E153" s="12" t="n">
        <v>2919.29</v>
      </c>
      <c r="F153" s="5" t="n">
        <f aca="false">MAX(0,DATE(2026,9,30)-D153)</f>
        <v>0</v>
      </c>
      <c r="G153" s="5" t="str">
        <f aca="false">IF(F153=0,"Non échu",IF(F153&lt;=30,"1-30 j",IF(F153&lt;=60,"31-60 j",IF(F153&lt;=90,"61-90 j","&gt; 90 j"))))</f>
        <v>Non échu</v>
      </c>
    </row>
    <row r="154" customFormat="false" ht="15" hidden="false" customHeight="false" outlineLevel="0" collapsed="false">
      <c r="A154" s="5" t="s">
        <v>1061</v>
      </c>
      <c r="B154" s="5" t="s">
        <v>99</v>
      </c>
      <c r="C154" s="11" t="n">
        <v>46270</v>
      </c>
      <c r="D154" s="11" t="n">
        <v>46300</v>
      </c>
      <c r="E154" s="12" t="n">
        <v>3020.26</v>
      </c>
      <c r="F154" s="5" t="n">
        <f aca="false">MAX(0,DATE(2026,9,30)-D154)</f>
        <v>0</v>
      </c>
      <c r="G154" s="5" t="str">
        <f aca="false">IF(F154=0,"Non échu",IF(F154&lt;=30,"1-30 j",IF(F154&lt;=60,"31-60 j",IF(F154&lt;=90,"61-90 j","&gt; 90 j"))))</f>
        <v>Non échu</v>
      </c>
    </row>
    <row r="155" customFormat="false" ht="15" hidden="false" customHeight="false" outlineLevel="0" collapsed="false">
      <c r="A155" s="5" t="s">
        <v>1062</v>
      </c>
      <c r="B155" s="5" t="s">
        <v>63</v>
      </c>
      <c r="C155" s="11" t="n">
        <v>46270</v>
      </c>
      <c r="D155" s="11" t="n">
        <v>46315</v>
      </c>
      <c r="E155" s="12" t="n">
        <v>2295.26</v>
      </c>
      <c r="F155" s="5" t="n">
        <f aca="false">MAX(0,DATE(2026,9,30)-D155)</f>
        <v>0</v>
      </c>
      <c r="G155" s="5" t="str">
        <f aca="false">IF(F155=0,"Non échu",IF(F155&lt;=30,"1-30 j",IF(F155&lt;=60,"31-60 j",IF(F155&lt;=90,"61-90 j","&gt; 90 j"))))</f>
        <v>Non échu</v>
      </c>
    </row>
    <row r="156" customFormat="false" ht="15" hidden="false" customHeight="false" outlineLevel="0" collapsed="false">
      <c r="A156" s="5" t="s">
        <v>1063</v>
      </c>
      <c r="B156" s="5" t="s">
        <v>99</v>
      </c>
      <c r="C156" s="11" t="n">
        <v>46270</v>
      </c>
      <c r="D156" s="11" t="n">
        <v>46300</v>
      </c>
      <c r="E156" s="12" t="n">
        <v>8121.02</v>
      </c>
      <c r="F156" s="5" t="n">
        <f aca="false">MAX(0,DATE(2026,9,30)-D156)</f>
        <v>0</v>
      </c>
      <c r="G156" s="5" t="str">
        <f aca="false">IF(F156=0,"Non échu",IF(F156&lt;=30,"1-30 j",IF(F156&lt;=60,"31-60 j",IF(F156&lt;=90,"61-90 j","&gt; 90 j"))))</f>
        <v>Non échu</v>
      </c>
    </row>
    <row r="157" customFormat="false" ht="15" hidden="false" customHeight="false" outlineLevel="0" collapsed="false">
      <c r="A157" s="5" t="s">
        <v>1064</v>
      </c>
      <c r="B157" s="5" t="s">
        <v>85</v>
      </c>
      <c r="C157" s="11" t="n">
        <v>46270</v>
      </c>
      <c r="D157" s="11" t="n">
        <v>46300</v>
      </c>
      <c r="E157" s="12" t="n">
        <v>2498.88</v>
      </c>
      <c r="F157" s="5" t="n">
        <f aca="false">MAX(0,DATE(2026,9,30)-D157)</f>
        <v>0</v>
      </c>
      <c r="G157" s="5" t="str">
        <f aca="false">IF(F157=0,"Non échu",IF(F157&lt;=30,"1-30 j",IF(F157&lt;=60,"31-60 j",IF(F157&lt;=90,"61-90 j","&gt; 90 j"))))</f>
        <v>Non échu</v>
      </c>
    </row>
    <row r="158" customFormat="false" ht="15" hidden="false" customHeight="false" outlineLevel="0" collapsed="false">
      <c r="A158" s="5" t="s">
        <v>1065</v>
      </c>
      <c r="B158" s="5" t="s">
        <v>81</v>
      </c>
      <c r="C158" s="11" t="n">
        <v>46270</v>
      </c>
      <c r="D158" s="11" t="n">
        <v>46315</v>
      </c>
      <c r="E158" s="12" t="n">
        <v>6199.6</v>
      </c>
      <c r="F158" s="5" t="n">
        <f aca="false">MAX(0,DATE(2026,9,30)-D158)</f>
        <v>0</v>
      </c>
      <c r="G158" s="5" t="str">
        <f aca="false">IF(F158=0,"Non échu",IF(F158&lt;=30,"1-30 j",IF(F158&lt;=60,"31-60 j",IF(F158&lt;=90,"61-90 j","&gt; 90 j"))))</f>
        <v>Non échu</v>
      </c>
    </row>
    <row r="159" customFormat="false" ht="15" hidden="false" customHeight="false" outlineLevel="0" collapsed="false">
      <c r="A159" s="5" t="s">
        <v>1066</v>
      </c>
      <c r="B159" s="5" t="s">
        <v>99</v>
      </c>
      <c r="C159" s="11" t="n">
        <v>46271</v>
      </c>
      <c r="D159" s="11" t="n">
        <v>46301</v>
      </c>
      <c r="E159" s="12" t="n">
        <v>3022.92</v>
      </c>
      <c r="F159" s="5" t="n">
        <f aca="false">MAX(0,DATE(2026,9,30)-D159)</f>
        <v>0</v>
      </c>
      <c r="G159" s="5" t="str">
        <f aca="false">IF(F159=0,"Non échu",IF(F159&lt;=30,"1-30 j",IF(F159&lt;=60,"31-60 j",IF(F159&lt;=90,"61-90 j","&gt; 90 j"))))</f>
        <v>Non échu</v>
      </c>
    </row>
    <row r="160" customFormat="false" ht="15" hidden="false" customHeight="false" outlineLevel="0" collapsed="false">
      <c r="A160" s="5" t="s">
        <v>1067</v>
      </c>
      <c r="B160" s="5" t="s">
        <v>81</v>
      </c>
      <c r="C160" s="11" t="n">
        <v>46271</v>
      </c>
      <c r="D160" s="11" t="n">
        <v>46316</v>
      </c>
      <c r="E160" s="12" t="n">
        <v>2471.23</v>
      </c>
      <c r="F160" s="5" t="n">
        <f aca="false">MAX(0,DATE(2026,9,30)-D160)</f>
        <v>0</v>
      </c>
      <c r="G160" s="5" t="str">
        <f aca="false">IF(F160=0,"Non échu",IF(F160&lt;=30,"1-30 j",IF(F160&lt;=60,"31-60 j",IF(F160&lt;=90,"61-90 j","&gt; 90 j"))))</f>
        <v>Non échu</v>
      </c>
    </row>
    <row r="161" customFormat="false" ht="15" hidden="false" customHeight="false" outlineLevel="0" collapsed="false">
      <c r="A161" s="5" t="s">
        <v>1068</v>
      </c>
      <c r="B161" s="5" t="s">
        <v>81</v>
      </c>
      <c r="C161" s="11" t="n">
        <v>46271</v>
      </c>
      <c r="D161" s="11" t="n">
        <v>46316</v>
      </c>
      <c r="E161" s="12" t="n">
        <v>7569.6</v>
      </c>
      <c r="F161" s="5" t="n">
        <f aca="false">MAX(0,DATE(2026,9,30)-D161)</f>
        <v>0</v>
      </c>
      <c r="G161" s="5" t="str">
        <f aca="false">IF(F161=0,"Non échu",IF(F161&lt;=30,"1-30 j",IF(F161&lt;=60,"31-60 j",IF(F161&lt;=90,"61-90 j","&gt; 90 j"))))</f>
        <v>Non échu</v>
      </c>
    </row>
    <row r="162" customFormat="false" ht="15" hidden="false" customHeight="false" outlineLevel="0" collapsed="false">
      <c r="A162" s="5" t="s">
        <v>1069</v>
      </c>
      <c r="B162" s="5" t="s">
        <v>68</v>
      </c>
      <c r="C162" s="11" t="n">
        <v>46271</v>
      </c>
      <c r="D162" s="11" t="n">
        <v>46301</v>
      </c>
      <c r="E162" s="12" t="n">
        <v>1922.74</v>
      </c>
      <c r="F162" s="5" t="n">
        <f aca="false">MAX(0,DATE(2026,9,30)-D162)</f>
        <v>0</v>
      </c>
      <c r="G162" s="5" t="str">
        <f aca="false">IF(F162=0,"Non échu",IF(F162&lt;=30,"1-30 j",IF(F162&lt;=60,"31-60 j",IF(F162&lt;=90,"61-90 j","&gt; 90 j"))))</f>
        <v>Non échu</v>
      </c>
    </row>
    <row r="163" customFormat="false" ht="15" hidden="false" customHeight="false" outlineLevel="0" collapsed="false">
      <c r="A163" s="5" t="s">
        <v>1070</v>
      </c>
      <c r="B163" s="5" t="s">
        <v>63</v>
      </c>
      <c r="C163" s="11" t="n">
        <v>46272</v>
      </c>
      <c r="D163" s="11" t="n">
        <v>46317</v>
      </c>
      <c r="E163" s="12" t="n">
        <v>25175.47</v>
      </c>
      <c r="F163" s="5" t="n">
        <f aca="false">MAX(0,DATE(2026,9,30)-D163)</f>
        <v>0</v>
      </c>
      <c r="G163" s="5" t="str">
        <f aca="false">IF(F163=0,"Non échu",IF(F163&lt;=30,"1-30 j",IF(F163&lt;=60,"31-60 j",IF(F163&lt;=90,"61-90 j","&gt; 90 j"))))</f>
        <v>Non échu</v>
      </c>
    </row>
    <row r="164" customFormat="false" ht="15" hidden="false" customHeight="false" outlineLevel="0" collapsed="false">
      <c r="A164" s="5" t="s">
        <v>1071</v>
      </c>
      <c r="B164" s="5" t="s">
        <v>81</v>
      </c>
      <c r="C164" s="11" t="n">
        <v>46272</v>
      </c>
      <c r="D164" s="11" t="n">
        <v>46317</v>
      </c>
      <c r="E164" s="12" t="n">
        <v>2471.23</v>
      </c>
      <c r="F164" s="5" t="n">
        <f aca="false">MAX(0,DATE(2026,9,30)-D164)</f>
        <v>0</v>
      </c>
      <c r="G164" s="5" t="str">
        <f aca="false">IF(F164=0,"Non échu",IF(F164&lt;=30,"1-30 j",IF(F164&lt;=60,"31-60 j",IF(F164&lt;=90,"61-90 j","&gt; 90 j"))))</f>
        <v>Non échu</v>
      </c>
    </row>
    <row r="165" customFormat="false" ht="15" hidden="false" customHeight="false" outlineLevel="0" collapsed="false">
      <c r="A165" s="5" t="s">
        <v>1072</v>
      </c>
      <c r="B165" s="5" t="s">
        <v>73</v>
      </c>
      <c r="C165" s="11" t="n">
        <v>46272</v>
      </c>
      <c r="D165" s="11" t="n">
        <v>46302</v>
      </c>
      <c r="E165" s="12" t="n">
        <v>1536.88</v>
      </c>
      <c r="F165" s="5" t="n">
        <f aca="false">MAX(0,DATE(2026,9,30)-D165)</f>
        <v>0</v>
      </c>
      <c r="G165" s="5" t="str">
        <f aca="false">IF(F165=0,"Non échu",IF(F165&lt;=30,"1-30 j",IF(F165&lt;=60,"31-60 j",IF(F165&lt;=90,"61-90 j","&gt; 90 j"))))</f>
        <v>Non échu</v>
      </c>
    </row>
    <row r="166" customFormat="false" ht="15" hidden="false" customHeight="false" outlineLevel="0" collapsed="false">
      <c r="A166" s="5" t="s">
        <v>1073</v>
      </c>
      <c r="B166" s="5" t="s">
        <v>73</v>
      </c>
      <c r="C166" s="11" t="n">
        <v>46272</v>
      </c>
      <c r="D166" s="11" t="n">
        <v>46302</v>
      </c>
      <c r="E166" s="12" t="n">
        <v>1536.88</v>
      </c>
      <c r="F166" s="5" t="n">
        <f aca="false">MAX(0,DATE(2026,9,30)-D166)</f>
        <v>0</v>
      </c>
      <c r="G166" s="5" t="str">
        <f aca="false">IF(F166=0,"Non échu",IF(F166&lt;=30,"1-30 j",IF(F166&lt;=60,"31-60 j",IF(F166&lt;=90,"61-90 j","&gt; 90 j"))))</f>
        <v>Non échu</v>
      </c>
    </row>
    <row r="167" customFormat="false" ht="15" hidden="false" customHeight="false" outlineLevel="0" collapsed="false">
      <c r="A167" s="5" t="s">
        <v>1074</v>
      </c>
      <c r="B167" s="5" t="s">
        <v>85</v>
      </c>
      <c r="C167" s="11" t="n">
        <v>46273</v>
      </c>
      <c r="D167" s="11" t="n">
        <v>46303</v>
      </c>
      <c r="E167" s="12" t="n">
        <v>4549.16</v>
      </c>
      <c r="F167" s="5" t="n">
        <f aca="false">MAX(0,DATE(2026,9,30)-D167)</f>
        <v>0</v>
      </c>
      <c r="G167" s="5" t="str">
        <f aca="false">IF(F167=0,"Non échu",IF(F167&lt;=30,"1-30 j",IF(F167&lt;=60,"31-60 j",IF(F167&lt;=90,"61-90 j","&gt; 90 j"))))</f>
        <v>Non échu</v>
      </c>
    </row>
    <row r="168" customFormat="false" ht="15" hidden="false" customHeight="false" outlineLevel="0" collapsed="false">
      <c r="A168" s="5" t="s">
        <v>1075</v>
      </c>
      <c r="B168" s="5" t="s">
        <v>94</v>
      </c>
      <c r="C168" s="11" t="n">
        <v>46273</v>
      </c>
      <c r="D168" s="11" t="n">
        <v>46318</v>
      </c>
      <c r="E168" s="12" t="n">
        <v>3271.34</v>
      </c>
      <c r="F168" s="5" t="n">
        <f aca="false">MAX(0,DATE(2026,9,30)-D168)</f>
        <v>0</v>
      </c>
      <c r="G168" s="5" t="str">
        <f aca="false">IF(F168=0,"Non échu",IF(F168&lt;=30,"1-30 j",IF(F168&lt;=60,"31-60 j",IF(F168&lt;=90,"61-90 j","&gt; 90 j"))))</f>
        <v>Non échu</v>
      </c>
    </row>
    <row r="169" customFormat="false" ht="15" hidden="false" customHeight="false" outlineLevel="0" collapsed="false">
      <c r="A169" s="5" t="s">
        <v>1076</v>
      </c>
      <c r="B169" s="5" t="s">
        <v>68</v>
      </c>
      <c r="C169" s="11" t="n">
        <v>46273</v>
      </c>
      <c r="D169" s="11" t="n">
        <v>46303</v>
      </c>
      <c r="E169" s="12" t="n">
        <v>875.23</v>
      </c>
      <c r="F169" s="5" t="n">
        <f aca="false">MAX(0,DATE(2026,9,30)-D169)</f>
        <v>0</v>
      </c>
      <c r="G169" s="5" t="str">
        <f aca="false">IF(F169=0,"Non échu",IF(F169&lt;=30,"1-30 j",IF(F169&lt;=60,"31-60 j",IF(F169&lt;=90,"61-90 j","&gt; 90 j"))))</f>
        <v>Non échu</v>
      </c>
    </row>
    <row r="170" customFormat="false" ht="15" hidden="false" customHeight="false" outlineLevel="0" collapsed="false">
      <c r="A170" s="5" t="s">
        <v>1077</v>
      </c>
      <c r="B170" s="5" t="s">
        <v>85</v>
      </c>
      <c r="C170" s="11" t="n">
        <v>46273</v>
      </c>
      <c r="D170" s="11" t="n">
        <v>46303</v>
      </c>
      <c r="E170" s="12" t="n">
        <v>1190.57</v>
      </c>
      <c r="F170" s="5" t="n">
        <f aca="false">MAX(0,DATE(2026,9,30)-D170)</f>
        <v>0</v>
      </c>
      <c r="G170" s="5" t="str">
        <f aca="false">IF(F170=0,"Non échu",IF(F170&lt;=30,"1-30 j",IF(F170&lt;=60,"31-60 j",IF(F170&lt;=90,"61-90 j","&gt; 90 j"))))</f>
        <v>Non échu</v>
      </c>
    </row>
    <row r="171" customFormat="false" ht="15" hidden="false" customHeight="false" outlineLevel="0" collapsed="false">
      <c r="A171" s="5" t="s">
        <v>1078</v>
      </c>
      <c r="B171" s="5" t="s">
        <v>81</v>
      </c>
      <c r="C171" s="11" t="n">
        <v>46273</v>
      </c>
      <c r="D171" s="11" t="n">
        <v>46318</v>
      </c>
      <c r="E171" s="12" t="n">
        <v>7569.6</v>
      </c>
      <c r="F171" s="5" t="n">
        <f aca="false">MAX(0,DATE(2026,9,30)-D171)</f>
        <v>0</v>
      </c>
      <c r="G171" s="5" t="str">
        <f aca="false">IF(F171=0,"Non échu",IF(F171&lt;=30,"1-30 j",IF(F171&lt;=60,"31-60 j",IF(F171&lt;=90,"61-90 j","&gt; 90 j"))))</f>
        <v>Non échu</v>
      </c>
    </row>
    <row r="172" customFormat="false" ht="15" hidden="false" customHeight="false" outlineLevel="0" collapsed="false">
      <c r="A172" s="5" t="s">
        <v>1079</v>
      </c>
      <c r="B172" s="5" t="s">
        <v>81</v>
      </c>
      <c r="C172" s="11" t="n">
        <v>46273</v>
      </c>
      <c r="D172" s="11" t="n">
        <v>46318</v>
      </c>
      <c r="E172" s="12" t="n">
        <v>7569.6</v>
      </c>
      <c r="F172" s="5" t="n">
        <f aca="false">MAX(0,DATE(2026,9,30)-D172)</f>
        <v>0</v>
      </c>
      <c r="G172" s="5" t="str">
        <f aca="false">IF(F172=0,"Non échu",IF(F172&lt;=30,"1-30 j",IF(F172&lt;=60,"31-60 j",IF(F172&lt;=90,"61-90 j","&gt; 90 j"))))</f>
        <v>Non échu</v>
      </c>
    </row>
    <row r="173" customFormat="false" ht="15" hidden="false" customHeight="false" outlineLevel="0" collapsed="false">
      <c r="A173" s="5" t="s">
        <v>1080</v>
      </c>
      <c r="B173" s="5" t="s">
        <v>94</v>
      </c>
      <c r="C173" s="11" t="n">
        <v>46273</v>
      </c>
      <c r="D173" s="11" t="n">
        <v>46318</v>
      </c>
      <c r="E173" s="12" t="n">
        <v>3960.6</v>
      </c>
      <c r="F173" s="5" t="n">
        <f aca="false">MAX(0,DATE(2026,9,30)-D173)</f>
        <v>0</v>
      </c>
      <c r="G173" s="5" t="str">
        <f aca="false">IF(F173=0,"Non échu",IF(F173&lt;=30,"1-30 j",IF(F173&lt;=60,"31-60 j",IF(F173&lt;=90,"61-90 j","&gt; 90 j"))))</f>
        <v>Non échu</v>
      </c>
    </row>
    <row r="174" customFormat="false" ht="15" hidden="false" customHeight="false" outlineLevel="0" collapsed="false">
      <c r="A174" s="5" t="s">
        <v>1081</v>
      </c>
      <c r="B174" s="5" t="s">
        <v>87</v>
      </c>
      <c r="C174" s="11" t="n">
        <v>46273</v>
      </c>
      <c r="D174" s="11" t="n">
        <v>46318</v>
      </c>
      <c r="E174" s="12" t="n">
        <v>3705.12</v>
      </c>
      <c r="F174" s="5" t="n">
        <f aca="false">MAX(0,DATE(2026,9,30)-D174)</f>
        <v>0</v>
      </c>
      <c r="G174" s="5" t="str">
        <f aca="false">IF(F174=0,"Non échu",IF(F174&lt;=30,"1-30 j",IF(F174&lt;=60,"31-60 j",IF(F174&lt;=90,"61-90 j","&gt; 90 j"))))</f>
        <v>Non échu</v>
      </c>
    </row>
    <row r="175" customFormat="false" ht="15" hidden="false" customHeight="false" outlineLevel="0" collapsed="false">
      <c r="A175" s="5" t="s">
        <v>1082</v>
      </c>
      <c r="B175" s="5" t="s">
        <v>73</v>
      </c>
      <c r="C175" s="11" t="n">
        <v>46273</v>
      </c>
      <c r="D175" s="11" t="n">
        <v>46303</v>
      </c>
      <c r="E175" s="12" t="n">
        <v>2811.69</v>
      </c>
      <c r="F175" s="5" t="n">
        <f aca="false">MAX(0,DATE(2026,9,30)-D175)</f>
        <v>0</v>
      </c>
      <c r="G175" s="5" t="str">
        <f aca="false">IF(F175=0,"Non échu",IF(F175&lt;=30,"1-30 j",IF(F175&lt;=60,"31-60 j",IF(F175&lt;=90,"61-90 j","&gt; 90 j"))))</f>
        <v>Non échu</v>
      </c>
    </row>
    <row r="176" customFormat="false" ht="15" hidden="false" customHeight="false" outlineLevel="0" collapsed="false">
      <c r="A176" s="5" t="s">
        <v>1083</v>
      </c>
      <c r="B176" s="5" t="s">
        <v>99</v>
      </c>
      <c r="C176" s="11" t="n">
        <v>46274</v>
      </c>
      <c r="D176" s="11" t="n">
        <v>46304</v>
      </c>
      <c r="E176" s="12" t="n">
        <v>15991.77</v>
      </c>
      <c r="F176" s="5" t="n">
        <f aca="false">MAX(0,DATE(2026,9,30)-D176)</f>
        <v>0</v>
      </c>
      <c r="G176" s="5" t="str">
        <f aca="false">IF(F176=0,"Non échu",IF(F176&lt;=30,"1-30 j",IF(F176&lt;=60,"31-60 j",IF(F176&lt;=90,"61-90 j","&gt; 90 j"))))</f>
        <v>Non échu</v>
      </c>
    </row>
    <row r="177" customFormat="false" ht="15" hidden="false" customHeight="false" outlineLevel="0" collapsed="false">
      <c r="A177" s="5" t="s">
        <v>1084</v>
      </c>
      <c r="B177" s="5" t="s">
        <v>81</v>
      </c>
      <c r="C177" s="11" t="n">
        <v>46274</v>
      </c>
      <c r="D177" s="11" t="n">
        <v>46319</v>
      </c>
      <c r="E177" s="12" t="n">
        <v>26475.65</v>
      </c>
      <c r="F177" s="5" t="n">
        <f aca="false">MAX(0,DATE(2026,9,30)-D177)</f>
        <v>0</v>
      </c>
      <c r="G177" s="5" t="str">
        <f aca="false">IF(F177=0,"Non échu",IF(F177&lt;=30,"1-30 j",IF(F177&lt;=60,"31-60 j",IF(F177&lt;=90,"61-90 j","&gt; 90 j"))))</f>
        <v>Non échu</v>
      </c>
    </row>
    <row r="178" customFormat="false" ht="15" hidden="false" customHeight="false" outlineLevel="0" collapsed="false">
      <c r="A178" s="5" t="s">
        <v>1085</v>
      </c>
      <c r="B178" s="5" t="s">
        <v>94</v>
      </c>
      <c r="C178" s="11" t="n">
        <v>46274</v>
      </c>
      <c r="D178" s="11" t="n">
        <v>46319</v>
      </c>
      <c r="E178" s="12" t="n">
        <v>16281.71</v>
      </c>
      <c r="F178" s="5" t="n">
        <f aca="false">MAX(0,DATE(2026,9,30)-D178)</f>
        <v>0</v>
      </c>
      <c r="G178" s="5" t="str">
        <f aca="false">IF(F178=0,"Non échu",IF(F178&lt;=30,"1-30 j",IF(F178&lt;=60,"31-60 j",IF(F178&lt;=90,"61-90 j","&gt; 90 j"))))</f>
        <v>Non échu</v>
      </c>
    </row>
    <row r="179" customFormat="false" ht="15" hidden="false" customHeight="false" outlineLevel="0" collapsed="false">
      <c r="A179" s="5" t="s">
        <v>1086</v>
      </c>
      <c r="B179" s="5" t="s">
        <v>87</v>
      </c>
      <c r="C179" s="11" t="n">
        <v>46274</v>
      </c>
      <c r="D179" s="11" t="n">
        <v>46319</v>
      </c>
      <c r="E179" s="12" t="n">
        <v>10463.28</v>
      </c>
      <c r="F179" s="5" t="n">
        <f aca="false">MAX(0,DATE(2026,9,30)-D179)</f>
        <v>0</v>
      </c>
      <c r="G179" s="5" t="str">
        <f aca="false">IF(F179=0,"Non échu",IF(F179&lt;=30,"1-30 j",IF(F179&lt;=60,"31-60 j",IF(F179&lt;=90,"61-90 j","&gt; 90 j"))))</f>
        <v>Non échu</v>
      </c>
    </row>
    <row r="180" customFormat="false" ht="15" hidden="false" customHeight="false" outlineLevel="0" collapsed="false">
      <c r="A180" s="5" t="s">
        <v>1087</v>
      </c>
      <c r="B180" s="5" t="s">
        <v>115</v>
      </c>
      <c r="C180" s="11" t="n">
        <v>46274</v>
      </c>
      <c r="D180" s="11" t="n">
        <v>46334</v>
      </c>
      <c r="E180" s="12" t="n">
        <v>6262.9</v>
      </c>
      <c r="F180" s="5" t="n">
        <f aca="false">MAX(0,DATE(2026,9,30)-D180)</f>
        <v>0</v>
      </c>
      <c r="G180" s="5" t="str">
        <f aca="false">IF(F180=0,"Non échu",IF(F180&lt;=30,"1-30 j",IF(F180&lt;=60,"31-60 j",IF(F180&lt;=90,"61-90 j","&gt; 90 j"))))</f>
        <v>Non échu</v>
      </c>
    </row>
    <row r="181" customFormat="false" ht="15" hidden="false" customHeight="false" outlineLevel="0" collapsed="false">
      <c r="A181" s="5" t="s">
        <v>1088</v>
      </c>
      <c r="B181" s="5" t="s">
        <v>56</v>
      </c>
      <c r="C181" s="11" t="n">
        <v>46274</v>
      </c>
      <c r="D181" s="11" t="n">
        <v>46334</v>
      </c>
      <c r="E181" s="12" t="n">
        <v>2268.67</v>
      </c>
      <c r="F181" s="5" t="n">
        <f aca="false">MAX(0,DATE(2026,9,30)-D181)</f>
        <v>0</v>
      </c>
      <c r="G181" s="5" t="str">
        <f aca="false">IF(F181=0,"Non échu",IF(F181&lt;=30,"1-30 j",IF(F181&lt;=60,"31-60 j",IF(F181&lt;=90,"61-90 j","&gt; 90 j"))))</f>
        <v>Non échu</v>
      </c>
    </row>
    <row r="182" customFormat="false" ht="15" hidden="false" customHeight="false" outlineLevel="0" collapsed="false">
      <c r="A182" s="5" t="s">
        <v>1089</v>
      </c>
      <c r="B182" s="5" t="s">
        <v>56</v>
      </c>
      <c r="C182" s="11" t="n">
        <v>46274</v>
      </c>
      <c r="D182" s="11" t="n">
        <v>46334</v>
      </c>
      <c r="E182" s="12" t="n">
        <v>4774.8</v>
      </c>
      <c r="F182" s="5" t="n">
        <f aca="false">MAX(0,DATE(2026,9,30)-D182)</f>
        <v>0</v>
      </c>
      <c r="G182" s="5" t="str">
        <f aca="false">IF(F182=0,"Non échu",IF(F182&lt;=30,"1-30 j",IF(F182&lt;=60,"31-60 j",IF(F182&lt;=90,"61-90 j","&gt; 90 j"))))</f>
        <v>Non échu</v>
      </c>
    </row>
    <row r="183" customFormat="false" ht="15" hidden="false" customHeight="false" outlineLevel="0" collapsed="false">
      <c r="A183" s="5" t="s">
        <v>1090</v>
      </c>
      <c r="B183" s="5" t="s">
        <v>94</v>
      </c>
      <c r="C183" s="11" t="n">
        <v>46274</v>
      </c>
      <c r="D183" s="11" t="n">
        <v>46319</v>
      </c>
      <c r="E183" s="12" t="n">
        <v>2723.17</v>
      </c>
      <c r="F183" s="5" t="n">
        <f aca="false">MAX(0,DATE(2026,9,30)-D183)</f>
        <v>0</v>
      </c>
      <c r="G183" s="5" t="str">
        <f aca="false">IF(F183=0,"Non échu",IF(F183&lt;=30,"1-30 j",IF(F183&lt;=60,"31-60 j",IF(F183&lt;=90,"61-90 j","&gt; 90 j"))))</f>
        <v>Non échu</v>
      </c>
    </row>
    <row r="184" customFormat="false" ht="15" hidden="false" customHeight="false" outlineLevel="0" collapsed="false">
      <c r="A184" s="5" t="s">
        <v>1091</v>
      </c>
      <c r="B184" s="5" t="s">
        <v>87</v>
      </c>
      <c r="C184" s="11" t="n">
        <v>46276</v>
      </c>
      <c r="D184" s="11" t="n">
        <v>46321</v>
      </c>
      <c r="E184" s="12" t="n">
        <v>3702.72</v>
      </c>
      <c r="F184" s="5" t="n">
        <f aca="false">MAX(0,DATE(2026,9,30)-D184)</f>
        <v>0</v>
      </c>
      <c r="G184" s="5" t="str">
        <f aca="false">IF(F184=0,"Non échu",IF(F184&lt;=30,"1-30 j",IF(F184&lt;=60,"31-60 j",IF(F184&lt;=90,"61-90 j","&gt; 90 j"))))</f>
        <v>Non échu</v>
      </c>
    </row>
    <row r="185" customFormat="false" ht="15" hidden="false" customHeight="false" outlineLevel="0" collapsed="false">
      <c r="A185" s="5" t="s">
        <v>1092</v>
      </c>
      <c r="B185" s="5" t="s">
        <v>68</v>
      </c>
      <c r="C185" s="11" t="n">
        <v>46276</v>
      </c>
      <c r="D185" s="11" t="n">
        <v>46306</v>
      </c>
      <c r="E185" s="12" t="n">
        <v>2936.64</v>
      </c>
      <c r="F185" s="5" t="n">
        <f aca="false">MAX(0,DATE(2026,9,30)-D185)</f>
        <v>0</v>
      </c>
      <c r="G185" s="5" t="str">
        <f aca="false">IF(F185=0,"Non échu",IF(F185&lt;=30,"1-30 j",IF(F185&lt;=60,"31-60 j",IF(F185&lt;=90,"61-90 j","&gt; 90 j"))))</f>
        <v>Non échu</v>
      </c>
    </row>
    <row r="186" customFormat="false" ht="15" hidden="false" customHeight="false" outlineLevel="0" collapsed="false">
      <c r="A186" s="5" t="s">
        <v>1093</v>
      </c>
      <c r="B186" s="5" t="s">
        <v>99</v>
      </c>
      <c r="C186" s="11" t="n">
        <v>46276</v>
      </c>
      <c r="D186" s="11" t="n">
        <v>46306</v>
      </c>
      <c r="E186" s="12" t="n">
        <v>5988.6</v>
      </c>
      <c r="F186" s="5" t="n">
        <f aca="false">MAX(0,DATE(2026,9,30)-D186)</f>
        <v>0</v>
      </c>
      <c r="G186" s="5" t="str">
        <f aca="false">IF(F186=0,"Non échu",IF(F186&lt;=30,"1-30 j",IF(F186&lt;=60,"31-60 j",IF(F186&lt;=90,"61-90 j","&gt; 90 j"))))</f>
        <v>Non échu</v>
      </c>
    </row>
    <row r="187" customFormat="false" ht="15" hidden="false" customHeight="false" outlineLevel="0" collapsed="false">
      <c r="A187" s="5" t="s">
        <v>1095</v>
      </c>
      <c r="B187" s="5" t="s">
        <v>115</v>
      </c>
      <c r="C187" s="11" t="n">
        <v>46276</v>
      </c>
      <c r="D187" s="11" t="n">
        <v>46336</v>
      </c>
      <c r="E187" s="12" t="n">
        <v>5113.43</v>
      </c>
      <c r="F187" s="5" t="n">
        <f aca="false">MAX(0,DATE(2026,9,30)-D187)</f>
        <v>0</v>
      </c>
      <c r="G187" s="5" t="str">
        <f aca="false">IF(F187=0,"Non échu",IF(F187&lt;=30,"1-30 j",IF(F187&lt;=60,"31-60 j",IF(F187&lt;=90,"61-90 j","&gt; 90 j"))))</f>
        <v>Non échu</v>
      </c>
    </row>
    <row r="188" customFormat="false" ht="15" hidden="false" customHeight="false" outlineLevel="0" collapsed="false">
      <c r="A188" s="5" t="s">
        <v>1097</v>
      </c>
      <c r="B188" s="5" t="s">
        <v>81</v>
      </c>
      <c r="C188" s="11" t="n">
        <v>46278</v>
      </c>
      <c r="D188" s="11" t="n">
        <v>46323</v>
      </c>
      <c r="E188" s="12" t="n">
        <v>7562.4</v>
      </c>
      <c r="F188" s="5" t="n">
        <f aca="false">MAX(0,DATE(2026,9,30)-D188)</f>
        <v>0</v>
      </c>
      <c r="G188" s="5" t="str">
        <f aca="false">IF(F188=0,"Non échu",IF(F188&lt;=30,"1-30 j",IF(F188&lt;=60,"31-60 j",IF(F188&lt;=90,"61-90 j","&gt; 90 j"))))</f>
        <v>Non échu</v>
      </c>
    </row>
    <row r="189" customFormat="false" ht="15" hidden="false" customHeight="false" outlineLevel="0" collapsed="false">
      <c r="A189" s="5" t="s">
        <v>1098</v>
      </c>
      <c r="B189" s="5" t="s">
        <v>68</v>
      </c>
      <c r="C189" s="11" t="n">
        <v>46278</v>
      </c>
      <c r="D189" s="11" t="n">
        <v>46308</v>
      </c>
      <c r="E189" s="12" t="n">
        <v>2936.64</v>
      </c>
      <c r="F189" s="5" t="n">
        <f aca="false">MAX(0,DATE(2026,9,30)-D189)</f>
        <v>0</v>
      </c>
      <c r="G189" s="5" t="str">
        <f aca="false">IF(F189=0,"Non échu",IF(F189&lt;=30,"1-30 j",IF(F189&lt;=60,"31-60 j",IF(F189&lt;=90,"61-90 j","&gt; 90 j"))))</f>
        <v>Non échu</v>
      </c>
    </row>
    <row r="190" customFormat="false" ht="15" hidden="false" customHeight="false" outlineLevel="0" collapsed="false">
      <c r="A190" s="5" t="s">
        <v>1099</v>
      </c>
      <c r="B190" s="5" t="s">
        <v>56</v>
      </c>
      <c r="C190" s="11" t="n">
        <v>46279</v>
      </c>
      <c r="D190" s="11" t="n">
        <v>46339</v>
      </c>
      <c r="E190" s="12" t="n">
        <v>18210.78</v>
      </c>
      <c r="F190" s="5" t="n">
        <f aca="false">MAX(0,DATE(2026,9,30)-D190)</f>
        <v>0</v>
      </c>
      <c r="G190" s="5" t="str">
        <f aca="false">IF(F190=0,"Non échu",IF(F190&lt;=30,"1-30 j",IF(F190&lt;=60,"31-60 j",IF(F190&lt;=90,"61-90 j","&gt; 90 j"))))</f>
        <v>Non échu</v>
      </c>
    </row>
    <row r="191" customFormat="false" ht="15" hidden="false" customHeight="false" outlineLevel="0" collapsed="false">
      <c r="A191" s="5" t="s">
        <v>1100</v>
      </c>
      <c r="B191" s="5" t="s">
        <v>73</v>
      </c>
      <c r="C191" s="11" t="n">
        <v>46279</v>
      </c>
      <c r="D191" s="11" t="n">
        <v>46309</v>
      </c>
      <c r="E191" s="12" t="n">
        <v>2811.69</v>
      </c>
      <c r="F191" s="5" t="n">
        <f aca="false">MAX(0,DATE(2026,9,30)-D191)</f>
        <v>0</v>
      </c>
      <c r="G191" s="5" t="str">
        <f aca="false">IF(F191=0,"Non échu",IF(F191&lt;=30,"1-30 j",IF(F191&lt;=60,"31-60 j",IF(F191&lt;=90,"61-90 j","&gt; 90 j"))))</f>
        <v>Non échu</v>
      </c>
    </row>
    <row r="192" customFormat="false" ht="15" hidden="false" customHeight="false" outlineLevel="0" collapsed="false">
      <c r="A192" s="5" t="s">
        <v>1101</v>
      </c>
      <c r="B192" s="5" t="s">
        <v>94</v>
      </c>
      <c r="C192" s="11" t="n">
        <v>46279</v>
      </c>
      <c r="D192" s="11" t="n">
        <v>46324</v>
      </c>
      <c r="E192" s="12" t="n">
        <v>2723.17</v>
      </c>
      <c r="F192" s="5" t="n">
        <f aca="false">MAX(0,DATE(2026,9,30)-D192)</f>
        <v>0</v>
      </c>
      <c r="G192" s="5" t="str">
        <f aca="false">IF(F192=0,"Non échu",IF(F192&lt;=30,"1-30 j",IF(F192&lt;=60,"31-60 j",IF(F192&lt;=90,"61-90 j","&gt; 90 j"))))</f>
        <v>Non échu</v>
      </c>
    </row>
    <row r="193" customFormat="false" ht="15" hidden="false" customHeight="false" outlineLevel="0" collapsed="false">
      <c r="A193" s="5" t="s">
        <v>1103</v>
      </c>
      <c r="B193" s="5" t="s">
        <v>73</v>
      </c>
      <c r="C193" s="11" t="n">
        <v>46280</v>
      </c>
      <c r="D193" s="11" t="n">
        <v>46310</v>
      </c>
      <c r="E193" s="12" t="n">
        <v>12703.49</v>
      </c>
      <c r="F193" s="5" t="n">
        <f aca="false">MAX(0,DATE(2026,9,30)-D193)</f>
        <v>0</v>
      </c>
      <c r="G193" s="5" t="str">
        <f aca="false">IF(F193=0,"Non échu",IF(F193&lt;=30,"1-30 j",IF(F193&lt;=60,"31-60 j",IF(F193&lt;=90,"61-90 j","&gt; 90 j"))))</f>
        <v>Non échu</v>
      </c>
    </row>
    <row r="194" customFormat="false" ht="15" hidden="false" customHeight="false" outlineLevel="0" collapsed="false">
      <c r="A194" s="5" t="s">
        <v>1104</v>
      </c>
      <c r="B194" s="5" t="s">
        <v>63</v>
      </c>
      <c r="C194" s="11" t="n">
        <v>46280</v>
      </c>
      <c r="D194" s="11" t="n">
        <v>46325</v>
      </c>
      <c r="E194" s="12" t="n">
        <v>2293.99</v>
      </c>
      <c r="F194" s="5" t="n">
        <f aca="false">MAX(0,DATE(2026,9,30)-D194)</f>
        <v>0</v>
      </c>
      <c r="G194" s="5" t="str">
        <f aca="false">IF(F194=0,"Non échu",IF(F194&lt;=30,"1-30 j",IF(F194&lt;=60,"31-60 j",IF(F194&lt;=90,"61-90 j","&gt; 90 j"))))</f>
        <v>Non échu</v>
      </c>
    </row>
    <row r="195" customFormat="false" ht="15" hidden="false" customHeight="false" outlineLevel="0" collapsed="false">
      <c r="A195" s="5" t="s">
        <v>1105</v>
      </c>
      <c r="B195" s="5" t="s">
        <v>87</v>
      </c>
      <c r="C195" s="11" t="n">
        <v>46280</v>
      </c>
      <c r="D195" s="11" t="n">
        <v>46325</v>
      </c>
      <c r="E195" s="12" t="n">
        <v>3698.4</v>
      </c>
      <c r="F195" s="5" t="n">
        <f aca="false">MAX(0,DATE(2026,9,30)-D195)</f>
        <v>0</v>
      </c>
      <c r="G195" s="5" t="str">
        <f aca="false">IF(F195=0,"Non échu",IF(F195&lt;=30,"1-30 j",IF(F195&lt;=60,"31-60 j",IF(F195&lt;=90,"61-90 j","&gt; 90 j"))))</f>
        <v>Non échu</v>
      </c>
    </row>
    <row r="196" customFormat="false" ht="15" hidden="false" customHeight="false" outlineLevel="0" collapsed="false">
      <c r="A196" s="5" t="s">
        <v>1106</v>
      </c>
      <c r="B196" s="5" t="s">
        <v>68</v>
      </c>
      <c r="C196" s="11" t="n">
        <v>46281</v>
      </c>
      <c r="D196" s="11" t="n">
        <v>46311</v>
      </c>
      <c r="E196" s="12" t="n">
        <v>7078.52</v>
      </c>
      <c r="F196" s="5" t="n">
        <f aca="false">MAX(0,DATE(2026,9,30)-D196)</f>
        <v>0</v>
      </c>
      <c r="G196" s="5" t="str">
        <f aca="false">IF(F196=0,"Non échu",IF(F196&lt;=30,"1-30 j",IF(F196&lt;=60,"31-60 j",IF(F196&lt;=90,"61-90 j","&gt; 90 j"))))</f>
        <v>Non échu</v>
      </c>
    </row>
    <row r="197" customFormat="false" ht="15" hidden="false" customHeight="false" outlineLevel="0" collapsed="false">
      <c r="A197" s="5" t="s">
        <v>1107</v>
      </c>
      <c r="B197" s="5" t="s">
        <v>99</v>
      </c>
      <c r="C197" s="11" t="n">
        <v>46281</v>
      </c>
      <c r="D197" s="11" t="n">
        <v>46311</v>
      </c>
      <c r="E197" s="12" t="n">
        <v>5986.8</v>
      </c>
      <c r="F197" s="5" t="n">
        <f aca="false">MAX(0,DATE(2026,9,30)-D197)</f>
        <v>0</v>
      </c>
      <c r="G197" s="5" t="str">
        <f aca="false">IF(F197=0,"Non échu",IF(F197&lt;=30,"1-30 j",IF(F197&lt;=60,"31-60 j",IF(F197&lt;=90,"61-90 j","&gt; 90 j"))))</f>
        <v>Non échu</v>
      </c>
    </row>
    <row r="198" customFormat="false" ht="15" hidden="false" customHeight="false" outlineLevel="0" collapsed="false">
      <c r="A198" s="5" t="s">
        <v>1108</v>
      </c>
      <c r="B198" s="5" t="s">
        <v>63</v>
      </c>
      <c r="C198" s="11" t="n">
        <v>46281</v>
      </c>
      <c r="D198" s="11" t="n">
        <v>46326</v>
      </c>
      <c r="E198" s="12" t="n">
        <v>7013.64</v>
      </c>
      <c r="F198" s="5" t="n">
        <f aca="false">MAX(0,DATE(2026,9,30)-D198)</f>
        <v>0</v>
      </c>
      <c r="G198" s="5" t="str">
        <f aca="false">IF(F198=0,"Non échu",IF(F198&lt;=30,"1-30 j",IF(F198&lt;=60,"31-60 j",IF(F198&lt;=90,"61-90 j","&gt; 90 j"))))</f>
        <v>Non échu</v>
      </c>
    </row>
    <row r="199" customFormat="false" ht="15" hidden="false" customHeight="false" outlineLevel="0" collapsed="false">
      <c r="A199" s="5" t="s">
        <v>1109</v>
      </c>
      <c r="B199" s="5" t="s">
        <v>68</v>
      </c>
      <c r="C199" s="11" t="n">
        <v>46281</v>
      </c>
      <c r="D199" s="11" t="n">
        <v>46311</v>
      </c>
      <c r="E199" s="12" t="n">
        <v>1922.74</v>
      </c>
      <c r="F199" s="5" t="n">
        <f aca="false">MAX(0,DATE(2026,9,30)-D199)</f>
        <v>0</v>
      </c>
      <c r="G199" s="5" t="str">
        <f aca="false">IF(F199=0,"Non échu",IF(F199&lt;=30,"1-30 j",IF(F199&lt;=60,"31-60 j",IF(F199&lt;=90,"61-90 j","&gt; 90 j"))))</f>
        <v>Non échu</v>
      </c>
    </row>
    <row r="200" customFormat="false" ht="15" hidden="false" customHeight="false" outlineLevel="0" collapsed="false">
      <c r="A200" s="5" t="s">
        <v>1110</v>
      </c>
      <c r="B200" s="5" t="s">
        <v>99</v>
      </c>
      <c r="C200" s="11" t="n">
        <v>46282</v>
      </c>
      <c r="D200" s="11" t="n">
        <v>46312</v>
      </c>
      <c r="E200" s="12" t="n">
        <v>3020.26</v>
      </c>
      <c r="F200" s="5" t="n">
        <f aca="false">MAX(0,DATE(2026,9,30)-D200)</f>
        <v>0</v>
      </c>
      <c r="G200" s="5" t="str">
        <f aca="false">IF(F200=0,"Non échu",IF(F200&lt;=30,"1-30 j",IF(F200&lt;=60,"31-60 j",IF(F200&lt;=90,"61-90 j","&gt; 90 j"))))</f>
        <v>Non échu</v>
      </c>
    </row>
    <row r="201" customFormat="false" ht="15" hidden="false" customHeight="false" outlineLevel="0" collapsed="false">
      <c r="A201" s="5" t="s">
        <v>1111</v>
      </c>
      <c r="B201" s="5" t="s">
        <v>87</v>
      </c>
      <c r="C201" s="11" t="n">
        <v>46282</v>
      </c>
      <c r="D201" s="11" t="n">
        <v>46327</v>
      </c>
      <c r="E201" s="12" t="n">
        <v>1267.79</v>
      </c>
      <c r="F201" s="5" t="n">
        <f aca="false">MAX(0,DATE(2026,9,30)-D201)</f>
        <v>0</v>
      </c>
      <c r="G201" s="5" t="str">
        <f aca="false">IF(F201=0,"Non échu",IF(F201&lt;=30,"1-30 j",IF(F201&lt;=60,"31-60 j",IF(F201&lt;=90,"61-90 j","&gt; 90 j"))))</f>
        <v>Non échu</v>
      </c>
    </row>
    <row r="202" customFormat="false" ht="15" hidden="false" customHeight="false" outlineLevel="0" collapsed="false">
      <c r="A202" s="5" t="s">
        <v>1112</v>
      </c>
      <c r="B202" s="5" t="s">
        <v>81</v>
      </c>
      <c r="C202" s="11" t="n">
        <v>46283</v>
      </c>
      <c r="D202" s="11" t="n">
        <v>46328</v>
      </c>
      <c r="E202" s="12" t="n">
        <v>26477.44</v>
      </c>
      <c r="F202" s="5" t="n">
        <f aca="false">MAX(0,DATE(2026,9,30)-D202)</f>
        <v>0</v>
      </c>
      <c r="G202" s="5" t="str">
        <f aca="false">IF(F202=0,"Non échu",IF(F202&lt;=30,"1-30 j",IF(F202&lt;=60,"31-60 j",IF(F202&lt;=90,"61-90 j","&gt; 90 j"))))</f>
        <v>Non échu</v>
      </c>
    </row>
    <row r="203" customFormat="false" ht="15" hidden="false" customHeight="false" outlineLevel="0" collapsed="false">
      <c r="A203" s="5" t="s">
        <v>1113</v>
      </c>
      <c r="B203" s="5" t="s">
        <v>87</v>
      </c>
      <c r="C203" s="11" t="n">
        <v>46283</v>
      </c>
      <c r="D203" s="11" t="n">
        <v>46328</v>
      </c>
      <c r="E203" s="12" t="n">
        <v>1267.79</v>
      </c>
      <c r="F203" s="5" t="n">
        <f aca="false">MAX(0,DATE(2026,9,30)-D203)</f>
        <v>0</v>
      </c>
      <c r="G203" s="5" t="str">
        <f aca="false">IF(F203=0,"Non échu",IF(F203&lt;=30,"1-30 j",IF(F203&lt;=60,"31-60 j",IF(F203&lt;=90,"61-90 j","&gt; 90 j"))))</f>
        <v>Non échu</v>
      </c>
    </row>
    <row r="204" customFormat="false" ht="15" hidden="false" customHeight="false" outlineLevel="0" collapsed="false">
      <c r="A204" s="5" t="s">
        <v>1114</v>
      </c>
      <c r="B204" s="5" t="s">
        <v>87</v>
      </c>
      <c r="C204" s="11" t="n">
        <v>46283</v>
      </c>
      <c r="D204" s="11" t="n">
        <v>46328</v>
      </c>
      <c r="E204" s="12" t="n">
        <v>1271.7</v>
      </c>
      <c r="F204" s="5" t="n">
        <f aca="false">MAX(0,DATE(2026,9,30)-D204)</f>
        <v>0</v>
      </c>
      <c r="G204" s="5" t="str">
        <f aca="false">IF(F204=0,"Non échu",IF(F204&lt;=30,"1-30 j",IF(F204&lt;=60,"31-60 j",IF(F204&lt;=90,"61-90 j","&gt; 90 j"))))</f>
        <v>Non échu</v>
      </c>
    </row>
    <row r="205" customFormat="false" ht="15" hidden="false" customHeight="false" outlineLevel="0" collapsed="false">
      <c r="A205" s="5" t="s">
        <v>1115</v>
      </c>
      <c r="B205" s="5" t="s">
        <v>73</v>
      </c>
      <c r="C205" s="11" t="n">
        <v>46283</v>
      </c>
      <c r="D205" s="11" t="n">
        <v>46313</v>
      </c>
      <c r="E205" s="12" t="n">
        <v>6137.52</v>
      </c>
      <c r="F205" s="5" t="n">
        <f aca="false">MAX(0,DATE(2026,9,30)-D205)</f>
        <v>0</v>
      </c>
      <c r="G205" s="5" t="str">
        <f aca="false">IF(F205=0,"Non échu",IF(F205&lt;=30,"1-30 j",IF(F205&lt;=60,"31-60 j",IF(F205&lt;=90,"61-90 j","&gt; 90 j"))))</f>
        <v>Non échu</v>
      </c>
    </row>
    <row r="206" customFormat="false" ht="15" hidden="false" customHeight="false" outlineLevel="0" collapsed="false">
      <c r="A206" s="5" t="s">
        <v>1116</v>
      </c>
      <c r="B206" s="5" t="s">
        <v>115</v>
      </c>
      <c r="C206" s="11" t="n">
        <v>46283</v>
      </c>
      <c r="D206" s="11" t="n">
        <v>46343</v>
      </c>
      <c r="E206" s="12" t="n">
        <v>3884.4</v>
      </c>
      <c r="F206" s="5" t="n">
        <f aca="false">MAX(0,DATE(2026,9,30)-D206)</f>
        <v>0</v>
      </c>
      <c r="G206" s="5" t="str">
        <f aca="false">IF(F206=0,"Non échu",IF(F206&lt;=30,"1-30 j",IF(F206&lt;=60,"31-60 j",IF(F206&lt;=90,"61-90 j","&gt; 90 j"))))</f>
        <v>Non échu</v>
      </c>
    </row>
    <row r="207" customFormat="false" ht="15" hidden="false" customHeight="false" outlineLevel="0" collapsed="false">
      <c r="A207" s="5" t="s">
        <v>1117</v>
      </c>
      <c r="B207" s="5" t="s">
        <v>85</v>
      </c>
      <c r="C207" s="11" t="n">
        <v>46283</v>
      </c>
      <c r="D207" s="11" t="n">
        <v>46313</v>
      </c>
      <c r="E207" s="12" t="n">
        <v>2480.04</v>
      </c>
      <c r="F207" s="5" t="n">
        <f aca="false">MAX(0,DATE(2026,9,30)-D207)</f>
        <v>0</v>
      </c>
      <c r="G207" s="5" t="str">
        <f aca="false">IF(F207=0,"Non échu",IF(F207&lt;=30,"1-30 j",IF(F207&lt;=60,"31-60 j",IF(F207&lt;=90,"61-90 j","&gt; 90 j"))))</f>
        <v>Non échu</v>
      </c>
    </row>
    <row r="208" customFormat="false" ht="15" hidden="false" customHeight="false" outlineLevel="0" collapsed="false">
      <c r="A208" s="5" t="s">
        <v>1118</v>
      </c>
      <c r="B208" s="5" t="s">
        <v>87</v>
      </c>
      <c r="C208" s="11" t="n">
        <v>46283</v>
      </c>
      <c r="D208" s="11" t="n">
        <v>46328</v>
      </c>
      <c r="E208" s="12" t="n">
        <v>2919.71</v>
      </c>
      <c r="F208" s="5" t="n">
        <f aca="false">MAX(0,DATE(2026,9,30)-D208)</f>
        <v>0</v>
      </c>
      <c r="G208" s="5" t="str">
        <f aca="false">IF(F208=0,"Non échu",IF(F208&lt;=30,"1-30 j",IF(F208&lt;=60,"31-60 j",IF(F208&lt;=90,"61-90 j","&gt; 90 j"))))</f>
        <v>Non échu</v>
      </c>
    </row>
    <row r="209" customFormat="false" ht="15" hidden="false" customHeight="false" outlineLevel="0" collapsed="false">
      <c r="A209" s="5" t="s">
        <v>1119</v>
      </c>
      <c r="B209" s="5" t="s">
        <v>115</v>
      </c>
      <c r="C209" s="11" t="n">
        <v>46283</v>
      </c>
      <c r="D209" s="11" t="n">
        <v>46343</v>
      </c>
      <c r="E209" s="12" t="n">
        <v>5112.11</v>
      </c>
      <c r="F209" s="5" t="n">
        <f aca="false">MAX(0,DATE(2026,9,30)-D209)</f>
        <v>0</v>
      </c>
      <c r="G209" s="5" t="str">
        <f aca="false">IF(F209=0,"Non échu",IF(F209&lt;=30,"1-30 j",IF(F209&lt;=60,"31-60 j",IF(F209&lt;=90,"61-90 j","&gt; 90 j"))))</f>
        <v>Non échu</v>
      </c>
    </row>
    <row r="210" customFormat="false" ht="15" hidden="false" customHeight="false" outlineLevel="0" collapsed="false">
      <c r="A210" s="5" t="s">
        <v>1120</v>
      </c>
      <c r="B210" s="5" t="s">
        <v>85</v>
      </c>
      <c r="C210" s="11" t="n">
        <v>46283</v>
      </c>
      <c r="D210" s="11" t="n">
        <v>46313</v>
      </c>
      <c r="E210" s="12" t="n">
        <v>1861.02</v>
      </c>
      <c r="F210" s="5" t="n">
        <f aca="false">MAX(0,DATE(2026,9,30)-D210)</f>
        <v>0</v>
      </c>
      <c r="G210" s="5" t="str">
        <f aca="false">IF(F210=0,"Non échu",IF(F210&lt;=30,"1-30 j",IF(F210&lt;=60,"31-60 j",IF(F210&lt;=90,"61-90 j","&gt; 90 j"))))</f>
        <v>Non échu</v>
      </c>
    </row>
    <row r="211" customFormat="false" ht="15" hidden="false" customHeight="false" outlineLevel="0" collapsed="false">
      <c r="A211" s="5" t="s">
        <v>1121</v>
      </c>
      <c r="B211" s="5" t="s">
        <v>56</v>
      </c>
      <c r="C211" s="11" t="n">
        <v>46283</v>
      </c>
      <c r="D211" s="11" t="n">
        <v>46343</v>
      </c>
      <c r="E211" s="12" t="n">
        <v>6112.88</v>
      </c>
      <c r="F211" s="5" t="n">
        <f aca="false">MAX(0,DATE(2026,9,30)-D211)</f>
        <v>0</v>
      </c>
      <c r="G211" s="5" t="str">
        <f aca="false">IF(F211=0,"Non échu",IF(F211&lt;=30,"1-30 j",IF(F211&lt;=60,"31-60 j",IF(F211&lt;=90,"61-90 j","&gt; 90 j"))))</f>
        <v>Non échu</v>
      </c>
    </row>
    <row r="212" customFormat="false" ht="15" hidden="false" customHeight="false" outlineLevel="0" collapsed="false">
      <c r="A212" s="5" t="s">
        <v>1122</v>
      </c>
      <c r="B212" s="5" t="s">
        <v>99</v>
      </c>
      <c r="C212" s="11" t="n">
        <v>46284</v>
      </c>
      <c r="D212" s="11" t="n">
        <v>46314</v>
      </c>
      <c r="E212" s="12" t="n">
        <v>15989.31</v>
      </c>
      <c r="F212" s="5" t="n">
        <f aca="false">MAX(0,DATE(2026,9,30)-D212)</f>
        <v>0</v>
      </c>
      <c r="G212" s="5" t="str">
        <f aca="false">IF(F212=0,"Non échu",IF(F212&lt;=30,"1-30 j",IF(F212&lt;=60,"31-60 j",IF(F212&lt;=90,"61-90 j","&gt; 90 j"))))</f>
        <v>Non échu</v>
      </c>
    </row>
    <row r="213" customFormat="false" ht="15" hidden="false" customHeight="false" outlineLevel="0" collapsed="false">
      <c r="A213" s="5" t="s">
        <v>1123</v>
      </c>
      <c r="B213" s="5" t="s">
        <v>73</v>
      </c>
      <c r="C213" s="11" t="n">
        <v>46284</v>
      </c>
      <c r="D213" s="11" t="n">
        <v>46314</v>
      </c>
      <c r="E213" s="12" t="n">
        <v>1536.88</v>
      </c>
      <c r="F213" s="5" t="n">
        <f aca="false">MAX(0,DATE(2026,9,30)-D213)</f>
        <v>0</v>
      </c>
      <c r="G213" s="5" t="str">
        <f aca="false">IF(F213=0,"Non échu",IF(F213&lt;=30,"1-30 j",IF(F213&lt;=60,"31-60 j",IF(F213&lt;=90,"61-90 j","&gt; 90 j"))))</f>
        <v>Non échu</v>
      </c>
    </row>
    <row r="214" customFormat="false" ht="15" hidden="false" customHeight="false" outlineLevel="0" collapsed="false">
      <c r="A214" s="5" t="s">
        <v>1124</v>
      </c>
      <c r="B214" s="5" t="s">
        <v>99</v>
      </c>
      <c r="C214" s="11" t="n">
        <v>46284</v>
      </c>
      <c r="D214" s="11" t="n">
        <v>46314</v>
      </c>
      <c r="E214" s="12" t="n">
        <v>5988.6</v>
      </c>
      <c r="F214" s="5" t="n">
        <f aca="false">MAX(0,DATE(2026,9,30)-D214)</f>
        <v>0</v>
      </c>
      <c r="G214" s="5" t="str">
        <f aca="false">IF(F214=0,"Non échu",IF(F214&lt;=30,"1-30 j",IF(F214&lt;=60,"31-60 j",IF(F214&lt;=90,"61-90 j","&gt; 90 j"))))</f>
        <v>Non échu</v>
      </c>
    </row>
    <row r="215" customFormat="false" ht="15" hidden="false" customHeight="false" outlineLevel="0" collapsed="false">
      <c r="A215" s="5" t="s">
        <v>1125</v>
      </c>
      <c r="B215" s="5" t="s">
        <v>73</v>
      </c>
      <c r="C215" s="11" t="n">
        <v>46284</v>
      </c>
      <c r="D215" s="11" t="n">
        <v>46314</v>
      </c>
      <c r="E215" s="12" t="n">
        <v>2811.69</v>
      </c>
      <c r="F215" s="5" t="n">
        <f aca="false">MAX(0,DATE(2026,9,30)-D215)</f>
        <v>0</v>
      </c>
      <c r="G215" s="5" t="str">
        <f aca="false">IF(F215=0,"Non échu",IF(F215&lt;=30,"1-30 j",IF(F215&lt;=60,"31-60 j",IF(F215&lt;=90,"61-90 j","&gt; 90 j"))))</f>
        <v>Non échu</v>
      </c>
    </row>
    <row r="216" customFormat="false" ht="15" hidden="false" customHeight="false" outlineLevel="0" collapsed="false">
      <c r="A216" s="5" t="s">
        <v>1126</v>
      </c>
      <c r="B216" s="5" t="s">
        <v>99</v>
      </c>
      <c r="C216" s="11" t="n">
        <v>46285</v>
      </c>
      <c r="D216" s="11" t="n">
        <v>46315</v>
      </c>
      <c r="E216" s="12" t="n">
        <v>15979.96</v>
      </c>
      <c r="F216" s="5" t="n">
        <f aca="false">MAX(0,DATE(2026,9,30)-D216)</f>
        <v>0</v>
      </c>
      <c r="G216" s="5" t="str">
        <f aca="false">IF(F216=0,"Non échu",IF(F216&lt;=30,"1-30 j",IF(F216&lt;=60,"31-60 j",IF(F216&lt;=90,"61-90 j","&gt; 90 j"))))</f>
        <v>Non échu</v>
      </c>
    </row>
    <row r="217" customFormat="false" ht="15" hidden="false" customHeight="false" outlineLevel="0" collapsed="false">
      <c r="A217" s="5" t="s">
        <v>1127</v>
      </c>
      <c r="B217" s="5" t="s">
        <v>73</v>
      </c>
      <c r="C217" s="11" t="n">
        <v>46285</v>
      </c>
      <c r="D217" s="11" t="n">
        <v>46315</v>
      </c>
      <c r="E217" s="12" t="n">
        <v>1539.39</v>
      </c>
      <c r="F217" s="5" t="n">
        <f aca="false">MAX(0,DATE(2026,9,30)-D217)</f>
        <v>0</v>
      </c>
      <c r="G217" s="5" t="str">
        <f aca="false">IF(F217=0,"Non échu",IF(F217&lt;=30,"1-30 j",IF(F217&lt;=60,"31-60 j",IF(F217&lt;=90,"61-90 j","&gt; 90 j"))))</f>
        <v>Non échu</v>
      </c>
    </row>
    <row r="218" customFormat="false" ht="15" hidden="false" customHeight="false" outlineLevel="0" collapsed="false">
      <c r="A218" s="5" t="s">
        <v>1128</v>
      </c>
      <c r="B218" s="5" t="s">
        <v>63</v>
      </c>
      <c r="C218" s="11" t="n">
        <v>46285</v>
      </c>
      <c r="D218" s="11" t="n">
        <v>46330</v>
      </c>
      <c r="E218" s="12" t="n">
        <v>7011.9</v>
      </c>
      <c r="F218" s="5" t="n">
        <f aca="false">MAX(0,DATE(2026,9,30)-D218)</f>
        <v>0</v>
      </c>
      <c r="G218" s="5" t="str">
        <f aca="false">IF(F218=0,"Non échu",IF(F218&lt;=30,"1-30 j",IF(F218&lt;=60,"31-60 j",IF(F218&lt;=90,"61-90 j","&gt; 90 j"))))</f>
        <v>Non échu</v>
      </c>
    </row>
    <row r="219" customFormat="false" ht="15" hidden="false" customHeight="false" outlineLevel="0" collapsed="false">
      <c r="A219" s="5" t="s">
        <v>1129</v>
      </c>
      <c r="B219" s="5" t="s">
        <v>99</v>
      </c>
      <c r="C219" s="11" t="n">
        <v>46286</v>
      </c>
      <c r="D219" s="11" t="n">
        <v>46316</v>
      </c>
      <c r="E219" s="12" t="n">
        <v>8121.02</v>
      </c>
      <c r="F219" s="5" t="n">
        <f aca="false">MAX(0,DATE(2026,9,30)-D219)</f>
        <v>0</v>
      </c>
      <c r="G219" s="5" t="str">
        <f aca="false">IF(F219=0,"Non échu",IF(F219&lt;=30,"1-30 j",IF(F219&lt;=60,"31-60 j",IF(F219&lt;=90,"61-90 j","&gt; 90 j"))))</f>
        <v>Non échu</v>
      </c>
    </row>
    <row r="220" customFormat="false" ht="15" hidden="false" customHeight="false" outlineLevel="0" collapsed="false">
      <c r="A220" s="5" t="s">
        <v>1130</v>
      </c>
      <c r="B220" s="5" t="s">
        <v>94</v>
      </c>
      <c r="C220" s="11" t="n">
        <v>46286</v>
      </c>
      <c r="D220" s="11" t="n">
        <v>46331</v>
      </c>
      <c r="E220" s="12" t="n">
        <v>3944.16</v>
      </c>
      <c r="F220" s="5" t="n">
        <f aca="false">MAX(0,DATE(2026,9,30)-D220)</f>
        <v>0</v>
      </c>
      <c r="G220" s="5" t="str">
        <f aca="false">IF(F220=0,"Non échu",IF(F220&lt;=30,"1-30 j",IF(F220&lt;=60,"31-60 j",IF(F220&lt;=90,"61-90 j","&gt; 90 j"))))</f>
        <v>Non échu</v>
      </c>
    </row>
    <row r="221" customFormat="false" ht="15" hidden="false" customHeight="false" outlineLevel="0" collapsed="false">
      <c r="A221" s="5" t="s">
        <v>1131</v>
      </c>
      <c r="B221" s="5" t="s">
        <v>87</v>
      </c>
      <c r="C221" s="11" t="n">
        <v>46286</v>
      </c>
      <c r="D221" s="11" t="n">
        <v>46331</v>
      </c>
      <c r="E221" s="12" t="n">
        <v>2919.71</v>
      </c>
      <c r="F221" s="5" t="n">
        <f aca="false">MAX(0,DATE(2026,9,30)-D221)</f>
        <v>0</v>
      </c>
      <c r="G221" s="5" t="str">
        <f aca="false">IF(F221=0,"Non échu",IF(F221&lt;=30,"1-30 j",IF(F221&lt;=60,"31-60 j",IF(F221&lt;=90,"61-90 j","&gt; 90 j"))))</f>
        <v>Non échu</v>
      </c>
    </row>
    <row r="222" customFormat="false" ht="15" hidden="false" customHeight="false" outlineLevel="0" collapsed="false">
      <c r="A222" s="5" t="s">
        <v>1132</v>
      </c>
      <c r="B222" s="5" t="s">
        <v>73</v>
      </c>
      <c r="C222" s="11" t="n">
        <v>46287</v>
      </c>
      <c r="D222" s="11" t="n">
        <v>46317</v>
      </c>
      <c r="E222" s="12" t="n">
        <v>12704.77</v>
      </c>
      <c r="F222" s="5" t="n">
        <f aca="false">MAX(0,DATE(2026,9,30)-D222)</f>
        <v>0</v>
      </c>
      <c r="G222" s="5" t="str">
        <f aca="false">IF(F222=0,"Non échu",IF(F222&lt;=30,"1-30 j",IF(F222&lt;=60,"31-60 j",IF(F222&lt;=90,"61-90 j","&gt; 90 j"))))</f>
        <v>Non échu</v>
      </c>
    </row>
    <row r="223" customFormat="false" ht="15" hidden="false" customHeight="false" outlineLevel="0" collapsed="false">
      <c r="A223" s="5" t="s">
        <v>1133</v>
      </c>
      <c r="B223" s="5" t="s">
        <v>87</v>
      </c>
      <c r="C223" s="11" t="n">
        <v>46287</v>
      </c>
      <c r="D223" s="11" t="n">
        <v>46332</v>
      </c>
      <c r="E223" s="12" t="n">
        <v>3698.4</v>
      </c>
      <c r="F223" s="5" t="n">
        <f aca="false">MAX(0,DATE(2026,9,30)-D223)</f>
        <v>0</v>
      </c>
      <c r="G223" s="5" t="str">
        <f aca="false">IF(F223=0,"Non échu",IF(F223&lt;=30,"1-30 j",IF(F223&lt;=60,"31-60 j",IF(F223&lt;=90,"61-90 j","&gt; 90 j"))))</f>
        <v>Non échu</v>
      </c>
    </row>
    <row r="224" customFormat="false" ht="15" hidden="false" customHeight="false" outlineLevel="0" collapsed="false">
      <c r="A224" s="5" t="s">
        <v>1134</v>
      </c>
      <c r="B224" s="5" t="s">
        <v>94</v>
      </c>
      <c r="C224" s="11" t="n">
        <v>46287</v>
      </c>
      <c r="D224" s="11" t="n">
        <v>46332</v>
      </c>
      <c r="E224" s="12" t="n">
        <v>2721.9</v>
      </c>
      <c r="F224" s="5" t="n">
        <f aca="false">MAX(0,DATE(2026,9,30)-D224)</f>
        <v>0</v>
      </c>
      <c r="G224" s="5" t="str">
        <f aca="false">IF(F224=0,"Non échu",IF(F224&lt;=30,"1-30 j",IF(F224&lt;=60,"31-60 j",IF(F224&lt;=90,"61-90 j","&gt; 90 j"))))</f>
        <v>Non échu</v>
      </c>
    </row>
    <row r="225" customFormat="false" ht="15" hidden="false" customHeight="false" outlineLevel="0" collapsed="false">
      <c r="A225" s="5" t="s">
        <v>1135</v>
      </c>
      <c r="B225" s="5" t="s">
        <v>68</v>
      </c>
      <c r="C225" s="11" t="n">
        <v>46287</v>
      </c>
      <c r="D225" s="11" t="n">
        <v>46317</v>
      </c>
      <c r="E225" s="12" t="n">
        <v>1921.79</v>
      </c>
      <c r="F225" s="5" t="n">
        <f aca="false">MAX(0,DATE(2026,9,30)-D225)</f>
        <v>0</v>
      </c>
      <c r="G225" s="5" t="str">
        <f aca="false">IF(F225=0,"Non échu",IF(F225&lt;=30,"1-30 j",IF(F225&lt;=60,"31-60 j",IF(F225&lt;=90,"61-90 j","&gt; 90 j"))))</f>
        <v>Non échu</v>
      </c>
    </row>
    <row r="226" customFormat="false" ht="15" hidden="false" customHeight="false" outlineLevel="0" collapsed="false">
      <c r="A226" s="5" t="s">
        <v>1136</v>
      </c>
      <c r="B226" s="5" t="s">
        <v>56</v>
      </c>
      <c r="C226" s="11" t="n">
        <v>46287</v>
      </c>
      <c r="D226" s="11" t="n">
        <v>46347</v>
      </c>
      <c r="E226" s="12" t="n">
        <v>6112.46</v>
      </c>
      <c r="F226" s="5" t="n">
        <f aca="false">MAX(0,DATE(2026,9,30)-D226)</f>
        <v>0</v>
      </c>
      <c r="G226" s="5" t="str">
        <f aca="false">IF(F226=0,"Non échu",IF(F226&lt;=30,"1-30 j",IF(F226&lt;=60,"31-60 j",IF(F226&lt;=90,"61-90 j","&gt; 90 j"))))</f>
        <v>Non échu</v>
      </c>
    </row>
    <row r="227" customFormat="false" ht="15" hidden="false" customHeight="false" outlineLevel="0" collapsed="false">
      <c r="A227" s="5" t="s">
        <v>1137</v>
      </c>
      <c r="B227" s="5" t="s">
        <v>63</v>
      </c>
      <c r="C227" s="11" t="n">
        <v>46288</v>
      </c>
      <c r="D227" s="11" t="n">
        <v>46333</v>
      </c>
      <c r="E227" s="12" t="n">
        <v>25188.02</v>
      </c>
      <c r="F227" s="5" t="n">
        <f aca="false">MAX(0,DATE(2026,9,30)-D227)</f>
        <v>0</v>
      </c>
      <c r="G227" s="5" t="str">
        <f aca="false">IF(F227=0,"Non échu",IF(F227&lt;=30,"1-30 j",IF(F227&lt;=60,"31-60 j",IF(F227&lt;=90,"61-90 j","&gt; 90 j"))))</f>
        <v>Non échu</v>
      </c>
    </row>
    <row r="228" customFormat="false" ht="15" hidden="false" customHeight="false" outlineLevel="0" collapsed="false">
      <c r="A228" s="5" t="s">
        <v>1138</v>
      </c>
      <c r="B228" s="5" t="s">
        <v>85</v>
      </c>
      <c r="C228" s="11" t="n">
        <v>46288</v>
      </c>
      <c r="D228" s="11" t="n">
        <v>46318</v>
      </c>
      <c r="E228" s="12" t="n">
        <v>4567.09</v>
      </c>
      <c r="F228" s="5" t="n">
        <f aca="false">MAX(0,DATE(2026,9,30)-D228)</f>
        <v>0</v>
      </c>
      <c r="G228" s="5" t="str">
        <f aca="false">IF(F228=0,"Non échu",IF(F228&lt;=30,"1-30 j",IF(F228&lt;=60,"31-60 j",IF(F228&lt;=90,"61-90 j","&gt; 90 j"))))</f>
        <v>Non échu</v>
      </c>
    </row>
    <row r="229" customFormat="false" ht="15" hidden="false" customHeight="false" outlineLevel="0" collapsed="false">
      <c r="A229" s="5" t="s">
        <v>1139</v>
      </c>
      <c r="B229" s="5" t="s">
        <v>94</v>
      </c>
      <c r="C229" s="11" t="n">
        <v>46288</v>
      </c>
      <c r="D229" s="11" t="n">
        <v>46333</v>
      </c>
      <c r="E229" s="12" t="n">
        <v>3960.6</v>
      </c>
      <c r="F229" s="5" t="n">
        <f aca="false">MAX(0,DATE(2026,9,30)-D229)</f>
        <v>0</v>
      </c>
      <c r="G229" s="5" t="str">
        <f aca="false">IF(F229=0,"Non échu",IF(F229&lt;=30,"1-30 j",IF(F229&lt;=60,"31-60 j",IF(F229&lt;=90,"61-90 j","&gt; 90 j"))))</f>
        <v>Non échu</v>
      </c>
    </row>
    <row r="230" customFormat="false" ht="15" hidden="false" customHeight="false" outlineLevel="0" collapsed="false">
      <c r="A230" s="5" t="s">
        <v>1140</v>
      </c>
      <c r="B230" s="5" t="s">
        <v>87</v>
      </c>
      <c r="C230" s="11" t="n">
        <v>46288</v>
      </c>
      <c r="D230" s="11" t="n">
        <v>46333</v>
      </c>
      <c r="E230" s="12" t="n">
        <v>2919.29</v>
      </c>
      <c r="F230" s="5" t="n">
        <f aca="false">MAX(0,DATE(2026,9,30)-D230)</f>
        <v>0</v>
      </c>
      <c r="G230" s="5" t="str">
        <f aca="false">IF(F230=0,"Non échu",IF(F230&lt;=30,"1-30 j",IF(F230&lt;=60,"31-60 j",IF(F230&lt;=90,"61-90 j","&gt; 90 j"))))</f>
        <v>Non échu</v>
      </c>
    </row>
    <row r="231" customFormat="false" ht="15" hidden="false" customHeight="false" outlineLevel="0" collapsed="false">
      <c r="A231" s="5" t="s">
        <v>1141</v>
      </c>
      <c r="B231" s="5" t="s">
        <v>81</v>
      </c>
      <c r="C231" s="11" t="n">
        <v>46289</v>
      </c>
      <c r="D231" s="11" t="n">
        <v>46334</v>
      </c>
      <c r="E231" s="12" t="n">
        <v>2471.23</v>
      </c>
      <c r="F231" s="5" t="n">
        <f aca="false">MAX(0,DATE(2026,9,30)-D231)</f>
        <v>0</v>
      </c>
      <c r="G231" s="5" t="str">
        <f aca="false">IF(F231=0,"Non échu",IF(F231&lt;=30,"1-30 j",IF(F231&lt;=60,"31-60 j",IF(F231&lt;=90,"61-90 j","&gt; 90 j"))))</f>
        <v>Non échu</v>
      </c>
    </row>
    <row r="232" customFormat="false" ht="15" hidden="false" customHeight="false" outlineLevel="0" collapsed="false">
      <c r="A232" s="5" t="s">
        <v>1142</v>
      </c>
      <c r="B232" s="5" t="s">
        <v>87</v>
      </c>
      <c r="C232" s="11" t="n">
        <v>46289</v>
      </c>
      <c r="D232" s="11" t="n">
        <v>46334</v>
      </c>
      <c r="E232" s="12" t="n">
        <v>1267.79</v>
      </c>
      <c r="F232" s="5" t="n">
        <f aca="false">MAX(0,DATE(2026,9,30)-D232)</f>
        <v>0</v>
      </c>
      <c r="G232" s="5" t="str">
        <f aca="false">IF(F232=0,"Non échu",IF(F232&lt;=30,"1-30 j",IF(F232&lt;=60,"31-60 j",IF(F232&lt;=90,"61-90 j","&gt; 90 j"))))</f>
        <v>Non échu</v>
      </c>
    </row>
    <row r="233" customFormat="false" ht="15" hidden="false" customHeight="false" outlineLevel="0" collapsed="false">
      <c r="A233" s="5" t="s">
        <v>1143</v>
      </c>
      <c r="B233" s="5" t="s">
        <v>81</v>
      </c>
      <c r="C233" s="11" t="n">
        <v>46289</v>
      </c>
      <c r="D233" s="11" t="n">
        <v>46334</v>
      </c>
      <c r="E233" s="12" t="n">
        <v>6199.6</v>
      </c>
      <c r="F233" s="5" t="n">
        <f aca="false">MAX(0,DATE(2026,9,30)-D233)</f>
        <v>0</v>
      </c>
      <c r="G233" s="5" t="str">
        <f aca="false">IF(F233=0,"Non échu",IF(F233&lt;=30,"1-30 j",IF(F233&lt;=60,"31-60 j",IF(F233&lt;=90,"61-90 j","&gt; 90 j"))))</f>
        <v>Non échu</v>
      </c>
    </row>
    <row r="234" customFormat="false" ht="15" hidden="false" customHeight="false" outlineLevel="0" collapsed="false">
      <c r="A234" s="5" t="s">
        <v>1144</v>
      </c>
      <c r="B234" s="5" t="s">
        <v>73</v>
      </c>
      <c r="C234" s="11" t="n">
        <v>46289</v>
      </c>
      <c r="D234" s="11" t="n">
        <v>46319</v>
      </c>
      <c r="E234" s="12" t="n">
        <v>2811.69</v>
      </c>
      <c r="F234" s="5" t="n">
        <f aca="false">MAX(0,DATE(2026,9,30)-D234)</f>
        <v>0</v>
      </c>
      <c r="G234" s="5" t="str">
        <f aca="false">IF(F234=0,"Non échu",IF(F234&lt;=30,"1-30 j",IF(F234&lt;=60,"31-60 j",IF(F234&lt;=90,"61-90 j","&gt; 90 j"))))</f>
        <v>Non échu</v>
      </c>
    </row>
    <row r="235" customFormat="false" ht="15" hidden="false" customHeight="false" outlineLevel="0" collapsed="false">
      <c r="A235" s="5" t="s">
        <v>1145</v>
      </c>
      <c r="B235" s="5" t="s">
        <v>85</v>
      </c>
      <c r="C235" s="11" t="n">
        <v>46290</v>
      </c>
      <c r="D235" s="11" t="n">
        <v>46320</v>
      </c>
      <c r="E235" s="12" t="n">
        <v>4567.09</v>
      </c>
      <c r="F235" s="5" t="n">
        <f aca="false">MAX(0,DATE(2026,9,30)-D235)</f>
        <v>0</v>
      </c>
      <c r="G235" s="5" t="str">
        <f aca="false">IF(F235=0,"Non échu",IF(F235&lt;=30,"1-30 j",IF(F235&lt;=60,"31-60 j",IF(F235&lt;=90,"61-90 j","&gt; 90 j"))))</f>
        <v>Non échu</v>
      </c>
    </row>
    <row r="236" customFormat="false" ht="15" hidden="false" customHeight="false" outlineLevel="0" collapsed="false">
      <c r="A236" s="5" t="s">
        <v>1146</v>
      </c>
      <c r="B236" s="5" t="s">
        <v>56</v>
      </c>
      <c r="C236" s="11" t="n">
        <v>46290</v>
      </c>
      <c r="D236" s="11" t="n">
        <v>46350</v>
      </c>
      <c r="E236" s="12" t="n">
        <v>2268.67</v>
      </c>
      <c r="F236" s="5" t="n">
        <f aca="false">MAX(0,DATE(2026,9,30)-D236)</f>
        <v>0</v>
      </c>
      <c r="G236" s="5" t="str">
        <f aca="false">IF(F236=0,"Non échu",IF(F236&lt;=30,"1-30 j",IF(F236&lt;=60,"31-60 j",IF(F236&lt;=90,"61-90 j","&gt; 90 j"))))</f>
        <v>Non échu</v>
      </c>
    </row>
    <row r="237" customFormat="false" ht="15" hidden="false" customHeight="false" outlineLevel="0" collapsed="false">
      <c r="A237" s="5" t="s">
        <v>1147</v>
      </c>
      <c r="B237" s="5" t="s">
        <v>56</v>
      </c>
      <c r="C237" s="11" t="n">
        <v>46290</v>
      </c>
      <c r="D237" s="11" t="n">
        <v>46350</v>
      </c>
      <c r="E237" s="12" t="n">
        <v>2265.3</v>
      </c>
      <c r="F237" s="5" t="n">
        <f aca="false">MAX(0,DATE(2026,9,30)-D237)</f>
        <v>0</v>
      </c>
      <c r="G237" s="5" t="str">
        <f aca="false">IF(F237=0,"Non échu",IF(F237&lt;=30,"1-30 j",IF(F237&lt;=60,"31-60 j",IF(F237&lt;=90,"61-90 j","&gt; 90 j"))))</f>
        <v>Non échu</v>
      </c>
    </row>
    <row r="238" customFormat="false" ht="15" hidden="false" customHeight="false" outlineLevel="0" collapsed="false">
      <c r="A238" s="5" t="s">
        <v>1149</v>
      </c>
      <c r="B238" s="5" t="s">
        <v>56</v>
      </c>
      <c r="C238" s="11" t="n">
        <v>46290</v>
      </c>
      <c r="D238" s="11" t="n">
        <v>46350</v>
      </c>
      <c r="E238" s="12" t="n">
        <v>4774.8</v>
      </c>
      <c r="F238" s="5" t="n">
        <f aca="false">MAX(0,DATE(2026,9,30)-D238)</f>
        <v>0</v>
      </c>
      <c r="G238" s="5" t="str">
        <f aca="false">IF(F238=0,"Non échu",IF(F238&lt;=30,"1-30 j",IF(F238&lt;=60,"31-60 j",IF(F238&lt;=90,"61-90 j","&gt; 90 j"))))</f>
        <v>Non échu</v>
      </c>
    </row>
    <row r="239" customFormat="false" ht="15" hidden="false" customHeight="false" outlineLevel="0" collapsed="false">
      <c r="A239" s="5" t="s">
        <v>1150</v>
      </c>
      <c r="B239" s="5" t="s">
        <v>94</v>
      </c>
      <c r="C239" s="11" t="n">
        <v>46290</v>
      </c>
      <c r="D239" s="11" t="n">
        <v>46335</v>
      </c>
      <c r="E239" s="12" t="n">
        <v>2723.17</v>
      </c>
      <c r="F239" s="5" t="n">
        <f aca="false">MAX(0,DATE(2026,9,30)-D239)</f>
        <v>0</v>
      </c>
      <c r="G239" s="5" t="str">
        <f aca="false">IF(F239=0,"Non échu",IF(F239&lt;=30,"1-30 j",IF(F239&lt;=60,"31-60 j",IF(F239&lt;=90,"61-90 j","&gt; 90 j"))))</f>
        <v>Non échu</v>
      </c>
    </row>
    <row r="240" customFormat="false" ht="15" hidden="false" customHeight="false" outlineLevel="0" collapsed="false">
      <c r="A240" s="5" t="s">
        <v>1151</v>
      </c>
      <c r="B240" s="5" t="s">
        <v>73</v>
      </c>
      <c r="C240" s="11" t="n">
        <v>46291</v>
      </c>
      <c r="D240" s="11" t="n">
        <v>46321</v>
      </c>
      <c r="E240" s="12" t="n">
        <v>6145.31</v>
      </c>
      <c r="F240" s="5" t="n">
        <f aca="false">MAX(0,DATE(2026,9,30)-D240)</f>
        <v>0</v>
      </c>
      <c r="G240" s="5" t="str">
        <f aca="false">IF(F240=0,"Non échu",IF(F240&lt;=30,"1-30 j",IF(F240&lt;=60,"31-60 j",IF(F240&lt;=90,"61-90 j","&gt; 90 j"))))</f>
        <v>Non échu</v>
      </c>
    </row>
    <row r="241" customFormat="false" ht="15" hidden="false" customHeight="false" outlineLevel="0" collapsed="false">
      <c r="A241" s="5" t="s">
        <v>1152</v>
      </c>
      <c r="B241" s="5" t="s">
        <v>56</v>
      </c>
      <c r="C241" s="11" t="n">
        <v>46291</v>
      </c>
      <c r="D241" s="11" t="n">
        <v>46351</v>
      </c>
      <c r="E241" s="12" t="n">
        <v>4778.88</v>
      </c>
      <c r="F241" s="5" t="n">
        <f aca="false">MAX(0,DATE(2026,9,30)-D241)</f>
        <v>0</v>
      </c>
      <c r="G241" s="5" t="str">
        <f aca="false">IF(F241=0,"Non échu",IF(F241&lt;=30,"1-30 j",IF(F241&lt;=60,"31-60 j",IF(F241&lt;=90,"61-90 j","&gt; 90 j"))))</f>
        <v>Non échu</v>
      </c>
    </row>
    <row r="242" customFormat="false" ht="15" hidden="false" customHeight="false" outlineLevel="0" collapsed="false">
      <c r="A242" s="5" t="s">
        <v>1153</v>
      </c>
      <c r="B242" s="5" t="s">
        <v>115</v>
      </c>
      <c r="C242" s="11" t="n">
        <v>46292</v>
      </c>
      <c r="D242" s="11" t="n">
        <v>46352</v>
      </c>
      <c r="E242" s="12" t="n">
        <v>6262.27</v>
      </c>
      <c r="F242" s="5" t="n">
        <f aca="false">MAX(0,DATE(2026,9,30)-D242)</f>
        <v>0</v>
      </c>
      <c r="G242" s="5" t="str">
        <f aca="false">IF(F242=0,"Non échu",IF(F242&lt;=30,"1-30 j",IF(F242&lt;=60,"31-60 j",IF(F242&lt;=90,"61-90 j","&gt; 90 j"))))</f>
        <v>Non échu</v>
      </c>
    </row>
    <row r="243" customFormat="false" ht="15" hidden="false" customHeight="false" outlineLevel="0" collapsed="false">
      <c r="A243" s="5" t="s">
        <v>1154</v>
      </c>
      <c r="B243" s="5" t="s">
        <v>115</v>
      </c>
      <c r="C243" s="11" t="n">
        <v>46292</v>
      </c>
      <c r="D243" s="11" t="n">
        <v>46352</v>
      </c>
      <c r="E243" s="12" t="n">
        <v>6263.22</v>
      </c>
      <c r="F243" s="5" t="n">
        <f aca="false">MAX(0,DATE(2026,9,30)-D243)</f>
        <v>0</v>
      </c>
      <c r="G243" s="5" t="str">
        <f aca="false">IF(F243=0,"Non échu",IF(F243&lt;=30,"1-30 j",IF(F243&lt;=60,"31-60 j",IF(F243&lt;=90,"61-90 j","&gt; 90 j"))))</f>
        <v>Non échu</v>
      </c>
    </row>
    <row r="244" customFormat="false" ht="15" hidden="false" customHeight="false" outlineLevel="0" collapsed="false">
      <c r="A244" s="5" t="s">
        <v>1155</v>
      </c>
      <c r="B244" s="5" t="s">
        <v>56</v>
      </c>
      <c r="C244" s="11" t="n">
        <v>46292</v>
      </c>
      <c r="D244" s="11" t="n">
        <v>46352</v>
      </c>
      <c r="E244" s="12" t="n">
        <v>18211.2</v>
      </c>
      <c r="F244" s="5" t="n">
        <f aca="false">MAX(0,DATE(2026,9,30)-D244)</f>
        <v>0</v>
      </c>
      <c r="G244" s="5" t="str">
        <f aca="false">IF(F244=0,"Non échu",IF(F244&lt;=30,"1-30 j",IF(F244&lt;=60,"31-60 j",IF(F244&lt;=90,"61-90 j","&gt; 90 j"))))</f>
        <v>Non échu</v>
      </c>
    </row>
    <row r="245" customFormat="false" ht="15" hidden="false" customHeight="false" outlineLevel="0" collapsed="false">
      <c r="A245" s="5" t="s">
        <v>1157</v>
      </c>
      <c r="B245" s="5" t="s">
        <v>85</v>
      </c>
      <c r="C245" s="11" t="n">
        <v>46292</v>
      </c>
      <c r="D245" s="11" t="n">
        <v>46322</v>
      </c>
      <c r="E245" s="12" t="n">
        <v>1190.04</v>
      </c>
      <c r="F245" s="5" t="n">
        <f aca="false">MAX(0,DATE(2026,9,30)-D245)</f>
        <v>0</v>
      </c>
      <c r="G245" s="5" t="str">
        <f aca="false">IF(F245=0,"Non échu",IF(F245&lt;=30,"1-30 j",IF(F245&lt;=60,"31-60 j",IF(F245&lt;=90,"61-90 j","&gt; 90 j"))))</f>
        <v>Non échu</v>
      </c>
    </row>
    <row r="246" customFormat="false" ht="15" hidden="false" customHeight="false" outlineLevel="0" collapsed="false">
      <c r="A246" s="5" t="s">
        <v>1158</v>
      </c>
      <c r="B246" s="5" t="s">
        <v>99</v>
      </c>
      <c r="C246" s="11" t="n">
        <v>46292</v>
      </c>
      <c r="D246" s="11" t="n">
        <v>46322</v>
      </c>
      <c r="E246" s="12" t="n">
        <v>8116.44</v>
      </c>
      <c r="F246" s="5" t="n">
        <f aca="false">MAX(0,DATE(2026,9,30)-D246)</f>
        <v>0</v>
      </c>
      <c r="G246" s="5" t="str">
        <f aca="false">IF(F246=0,"Non échu",IF(F246&lt;=30,"1-30 j",IF(F246&lt;=60,"31-60 j",IF(F246&lt;=90,"61-90 j","&gt; 90 j"))))</f>
        <v>Non échu</v>
      </c>
    </row>
    <row r="247" customFormat="false" ht="15" hidden="false" customHeight="false" outlineLevel="0" collapsed="false">
      <c r="A247" s="5" t="s">
        <v>1159</v>
      </c>
      <c r="B247" s="5" t="s">
        <v>63</v>
      </c>
      <c r="C247" s="11" t="n">
        <v>46292</v>
      </c>
      <c r="D247" s="11" t="n">
        <v>46337</v>
      </c>
      <c r="E247" s="12" t="n">
        <v>11440.2</v>
      </c>
      <c r="F247" s="5" t="n">
        <f aca="false">MAX(0,DATE(2026,9,30)-D247)</f>
        <v>0</v>
      </c>
      <c r="G247" s="5" t="str">
        <f aca="false">IF(F247=0,"Non échu",IF(F247&lt;=30,"1-30 j",IF(F247&lt;=60,"31-60 j",IF(F247&lt;=90,"61-90 j","&gt; 90 j"))))</f>
        <v>Non échu</v>
      </c>
    </row>
    <row r="248" customFormat="false" ht="15" hidden="false" customHeight="false" outlineLevel="0" collapsed="false">
      <c r="A248" s="5" t="s">
        <v>1160</v>
      </c>
      <c r="B248" s="5" t="s">
        <v>94</v>
      </c>
      <c r="C248" s="11" t="n">
        <v>46293</v>
      </c>
      <c r="D248" s="11" t="n">
        <v>46338</v>
      </c>
      <c r="E248" s="12" t="n">
        <v>3271.34</v>
      </c>
      <c r="F248" s="5" t="n">
        <f aca="false">MAX(0,DATE(2026,9,30)-D248)</f>
        <v>0</v>
      </c>
      <c r="G248" s="5" t="str">
        <f aca="false">IF(F248=0,"Non échu",IF(F248&lt;=30,"1-30 j",IF(F248&lt;=60,"31-60 j",IF(F248&lt;=90,"61-90 j","&gt; 90 j"))))</f>
        <v>Non échu</v>
      </c>
    </row>
    <row r="249" customFormat="false" ht="15" hidden="false" customHeight="false" outlineLevel="0" collapsed="false">
      <c r="A249" s="5" t="s">
        <v>1161</v>
      </c>
      <c r="B249" s="5" t="s">
        <v>115</v>
      </c>
      <c r="C249" s="11" t="n">
        <v>46293</v>
      </c>
      <c r="D249" s="11" t="n">
        <v>46353</v>
      </c>
      <c r="E249" s="12" t="n">
        <v>2548.46</v>
      </c>
      <c r="F249" s="5" t="n">
        <f aca="false">MAX(0,DATE(2026,9,30)-D249)</f>
        <v>0</v>
      </c>
      <c r="G249" s="5" t="str">
        <f aca="false">IF(F249=0,"Non échu",IF(F249&lt;=30,"1-30 j",IF(F249&lt;=60,"31-60 j",IF(F249&lt;=90,"61-90 j","&gt; 90 j"))))</f>
        <v>Non échu</v>
      </c>
    </row>
    <row r="250" customFormat="false" ht="15" hidden="false" customHeight="false" outlineLevel="0" collapsed="false">
      <c r="A250" s="5" t="s">
        <v>1162</v>
      </c>
      <c r="B250" s="5" t="s">
        <v>68</v>
      </c>
      <c r="C250" s="11" t="n">
        <v>46293</v>
      </c>
      <c r="D250" s="11" t="n">
        <v>46323</v>
      </c>
      <c r="E250" s="12" t="n">
        <v>877.34</v>
      </c>
      <c r="F250" s="5" t="n">
        <f aca="false">MAX(0,DATE(2026,9,30)-D250)</f>
        <v>0</v>
      </c>
      <c r="G250" s="5" t="str">
        <f aca="false">IF(F250=0,"Non échu",IF(F250&lt;=30,"1-30 j",IF(F250&lt;=60,"31-60 j",IF(F250&lt;=90,"61-90 j","&gt; 90 j"))))</f>
        <v>Non échu</v>
      </c>
    </row>
    <row r="251" customFormat="false" ht="15" hidden="false" customHeight="false" outlineLevel="0" collapsed="false">
      <c r="A251" s="5" t="s">
        <v>1163</v>
      </c>
      <c r="B251" s="5" t="s">
        <v>73</v>
      </c>
      <c r="C251" s="11" t="n">
        <v>46293</v>
      </c>
      <c r="D251" s="11" t="n">
        <v>46323</v>
      </c>
      <c r="E251" s="12" t="n">
        <v>6137.52</v>
      </c>
      <c r="F251" s="5" t="n">
        <f aca="false">MAX(0,DATE(2026,9,30)-D251)</f>
        <v>0</v>
      </c>
      <c r="G251" s="5" t="str">
        <f aca="false">IF(F251=0,"Non échu",IF(F251&lt;=30,"1-30 j",IF(F251&lt;=60,"31-60 j",IF(F251&lt;=90,"61-90 j","&gt; 90 j"))))</f>
        <v>Non échu</v>
      </c>
    </row>
  </sheetData>
  <autoFilter ref="A1:G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</cols>
  <sheetData>
    <row r="1" customFormat="false" ht="15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25</v>
      </c>
    </row>
    <row r="2" customFormat="false" ht="15" hidden="false" customHeight="false" outlineLevel="0" collapsed="false">
      <c r="A2" s="5" t="s">
        <v>1169</v>
      </c>
      <c r="B2" s="6" t="n">
        <v>412000</v>
      </c>
      <c r="C2" s="7" t="n">
        <f aca="false">B13</f>
        <v>564697.68</v>
      </c>
      <c r="D2" s="7" t="n">
        <f aca="false">C13</f>
        <v>675293.56</v>
      </c>
      <c r="E2" s="7" t="n">
        <f aca="false">D13</f>
        <v>788620.18</v>
      </c>
      <c r="F2" s="7" t="n">
        <f aca="false">E13</f>
        <v>882625.39</v>
      </c>
      <c r="G2" s="7" t="n">
        <f aca="false">F13</f>
        <v>1054347.95</v>
      </c>
      <c r="H2" s="7" t="n">
        <f aca="false">G13</f>
        <v>1195140</v>
      </c>
      <c r="I2" s="7" t="n">
        <f aca="false">H13</f>
        <v>1354988.22</v>
      </c>
      <c r="J2" s="7" t="n">
        <f aca="false">I13</f>
        <v>1549404.69</v>
      </c>
      <c r="K2" s="7" t="n">
        <f aca="false">B2</f>
        <v>412000</v>
      </c>
    </row>
    <row r="3" customFormat="false" ht="15" hidden="false" customHeight="false" outlineLevel="0" collapsed="false">
      <c r="A3" s="5" t="s">
        <v>1170</v>
      </c>
      <c r="B3" s="6" t="n">
        <v>604542.49</v>
      </c>
      <c r="C3" s="6" t="n">
        <v>572388.32</v>
      </c>
      <c r="D3" s="6" t="n">
        <v>646722.46</v>
      </c>
      <c r="E3" s="6" t="n">
        <v>674150.49</v>
      </c>
      <c r="F3" s="6" t="n">
        <v>640135.33</v>
      </c>
      <c r="G3" s="6" t="n">
        <v>731193.51</v>
      </c>
      <c r="H3" s="6" t="n">
        <v>701688.76</v>
      </c>
      <c r="I3" s="6" t="n">
        <v>741269.09</v>
      </c>
      <c r="J3" s="6" t="n">
        <v>676934.02</v>
      </c>
      <c r="K3" s="7" t="n">
        <f aca="false">SUM(B3:J3)</f>
        <v>5989024.47</v>
      </c>
    </row>
    <row r="4" customFormat="false" ht="15" hidden="false" customHeight="false" outlineLevel="0" collapsed="false">
      <c r="A4" s="5" t="s">
        <v>1171</v>
      </c>
      <c r="B4" s="6" t="n">
        <v>258565.61</v>
      </c>
      <c r="C4" s="6" t="n">
        <v>268360.84</v>
      </c>
      <c r="D4" s="6" t="n">
        <v>273428.24</v>
      </c>
      <c r="E4" s="6" t="n">
        <v>297589.39</v>
      </c>
      <c r="F4" s="6" t="n">
        <v>274282.06</v>
      </c>
      <c r="G4" s="6" t="n">
        <v>327052.1</v>
      </c>
      <c r="H4" s="6" t="n">
        <v>345435.07</v>
      </c>
      <c r="I4" s="6" t="n">
        <v>320879.74</v>
      </c>
      <c r="J4" s="6" t="n">
        <v>299741.11</v>
      </c>
      <c r="K4" s="7" t="n">
        <f aca="false">SUM(B4:J4)</f>
        <v>2665334.16</v>
      </c>
    </row>
    <row r="5" customFormat="false" ht="15" hidden="false" customHeight="false" outlineLevel="0" collapsed="false">
      <c r="A5" s="5" t="s">
        <v>1172</v>
      </c>
      <c r="B5" s="6" t="n">
        <v>99000</v>
      </c>
      <c r="C5" s="6" t="n">
        <v>99000</v>
      </c>
      <c r="D5" s="6" t="n">
        <v>99000</v>
      </c>
      <c r="E5" s="6" t="n">
        <v>99000</v>
      </c>
      <c r="F5" s="6" t="n">
        <v>99000</v>
      </c>
      <c r="G5" s="6" t="n">
        <v>99000</v>
      </c>
      <c r="H5" s="6" t="n">
        <v>99000</v>
      </c>
      <c r="I5" s="6" t="n">
        <v>99000</v>
      </c>
      <c r="J5" s="6" t="n">
        <v>99000</v>
      </c>
      <c r="K5" s="7" t="n">
        <f aca="false">SUM(B5:J5)</f>
        <v>891000</v>
      </c>
    </row>
    <row r="6" customFormat="false" ht="15" hidden="false" customHeight="false" outlineLevel="0" collapsed="false">
      <c r="A6" s="5" t="s">
        <v>1173</v>
      </c>
      <c r="B6" s="6" t="n">
        <v>46000</v>
      </c>
      <c r="C6" s="6" t="n">
        <v>46000</v>
      </c>
      <c r="D6" s="6" t="n">
        <v>46000</v>
      </c>
      <c r="E6" s="6" t="n">
        <v>46000</v>
      </c>
      <c r="F6" s="6" t="n">
        <v>46000</v>
      </c>
      <c r="G6" s="6" t="n">
        <v>46000</v>
      </c>
      <c r="H6" s="6" t="n">
        <v>46000</v>
      </c>
      <c r="I6" s="6" t="n">
        <v>46000</v>
      </c>
      <c r="J6" s="6" t="n">
        <v>46000</v>
      </c>
      <c r="K6" s="7" t="n">
        <f aca="false">SUM(B6:J6)</f>
        <v>414000</v>
      </c>
    </row>
    <row r="7" customFormat="false" ht="15" hidden="false" customHeight="false" outlineLevel="0" collapsed="false">
      <c r="A7" s="5" t="s">
        <v>1174</v>
      </c>
      <c r="B7" s="6" t="n">
        <v>11999.2</v>
      </c>
      <c r="C7" s="6" t="n">
        <v>12151.6</v>
      </c>
      <c r="D7" s="6" t="n">
        <v>10687.6</v>
      </c>
      <c r="E7" s="6" t="n">
        <v>16275.89</v>
      </c>
      <c r="F7" s="6" t="n">
        <v>12850.71</v>
      </c>
      <c r="G7" s="6" t="n">
        <v>14069.36</v>
      </c>
      <c r="H7" s="6" t="n">
        <v>15125.47</v>
      </c>
      <c r="I7" s="6" t="n">
        <v>12692.88</v>
      </c>
      <c r="J7" s="6" t="n">
        <v>16248.12</v>
      </c>
      <c r="K7" s="7" t="n">
        <f aca="false">SUM(B7:J7)</f>
        <v>122100.83</v>
      </c>
    </row>
    <row r="8" customFormat="false" ht="15" hidden="false" customHeight="false" outlineLevel="0" collapsed="false">
      <c r="A8" s="5" t="s">
        <v>1175</v>
      </c>
      <c r="B8" s="6" t="n">
        <v>0</v>
      </c>
      <c r="C8" s="6" t="n">
        <v>0</v>
      </c>
      <c r="D8" s="6" t="n">
        <v>68000</v>
      </c>
      <c r="E8" s="6" t="n">
        <v>0</v>
      </c>
      <c r="F8" s="6" t="n">
        <v>0</v>
      </c>
      <c r="G8" s="6" t="n">
        <v>68000</v>
      </c>
      <c r="H8" s="6" t="n">
        <v>0</v>
      </c>
      <c r="I8" s="6" t="n">
        <v>0</v>
      </c>
      <c r="J8" s="6" t="n">
        <v>68000</v>
      </c>
      <c r="K8" s="7" t="n">
        <f aca="false">SUM(B8:J8)</f>
        <v>204000</v>
      </c>
    </row>
    <row r="9" customFormat="false" ht="15" hidden="false" customHeight="false" outlineLevel="0" collapsed="false">
      <c r="A9" s="5" t="s">
        <v>1176</v>
      </c>
      <c r="B9" s="6" t="n">
        <v>22080</v>
      </c>
      <c r="C9" s="6" t="n">
        <v>22080</v>
      </c>
      <c r="D9" s="6" t="n">
        <v>22080</v>
      </c>
      <c r="E9" s="6" t="n">
        <v>22080</v>
      </c>
      <c r="F9" s="6" t="n">
        <v>22080</v>
      </c>
      <c r="G9" s="6" t="n">
        <v>22080</v>
      </c>
      <c r="H9" s="6" t="n">
        <v>22080</v>
      </c>
      <c r="I9" s="6" t="n">
        <v>22080</v>
      </c>
      <c r="J9" s="6" t="n">
        <v>22080</v>
      </c>
      <c r="K9" s="7" t="n">
        <f aca="false">SUM(B9:J9)</f>
        <v>198720</v>
      </c>
    </row>
    <row r="10" customFormat="false" ht="15" hidden="false" customHeight="false" outlineLevel="0" collapsed="false">
      <c r="A10" s="5" t="s">
        <v>1177</v>
      </c>
      <c r="B10" s="6" t="n">
        <v>0</v>
      </c>
      <c r="C10" s="6" t="n">
        <v>0</v>
      </c>
      <c r="D10" s="6" t="n">
        <v>0</v>
      </c>
      <c r="E10" s="6" t="n">
        <v>85000</v>
      </c>
      <c r="F10" s="6" t="n">
        <v>0</v>
      </c>
      <c r="G10" s="6" t="n">
        <v>0</v>
      </c>
      <c r="H10" s="6" t="n">
        <v>0</v>
      </c>
      <c r="I10" s="6" t="n">
        <v>32000</v>
      </c>
      <c r="J10" s="6" t="n">
        <v>0</v>
      </c>
      <c r="K10" s="7" t="n">
        <f aca="false">SUM(B10:J10)</f>
        <v>117000</v>
      </c>
    </row>
    <row r="11" customFormat="false" ht="15" hidden="false" customHeight="false" outlineLevel="0" collapsed="false">
      <c r="A11" s="5" t="s">
        <v>1178</v>
      </c>
      <c r="B11" s="6" t="n">
        <v>14200</v>
      </c>
      <c r="C11" s="6" t="n">
        <v>14200</v>
      </c>
      <c r="D11" s="6" t="n">
        <v>14200</v>
      </c>
      <c r="E11" s="6" t="n">
        <v>14200</v>
      </c>
      <c r="F11" s="6" t="n">
        <v>14200</v>
      </c>
      <c r="G11" s="6" t="n">
        <v>14200</v>
      </c>
      <c r="H11" s="6" t="n">
        <v>14200</v>
      </c>
      <c r="I11" s="6" t="n">
        <v>14200</v>
      </c>
      <c r="J11" s="6" t="n">
        <v>14200</v>
      </c>
      <c r="K11" s="7" t="n">
        <f aca="false">SUM(B11:J11)</f>
        <v>127800</v>
      </c>
    </row>
    <row r="12" customFormat="false" ht="15" hidden="false" customHeight="false" outlineLevel="0" collapsed="false">
      <c r="A12" s="13" t="s">
        <v>1179</v>
      </c>
      <c r="B12" s="14" t="n">
        <f aca="false">B3-SUM(B4:B11)</f>
        <v>152697.68</v>
      </c>
      <c r="C12" s="14" t="n">
        <f aca="false">C3-SUM(C4:C11)</f>
        <v>110595.88</v>
      </c>
      <c r="D12" s="14" t="n">
        <f aca="false">D3-SUM(D4:D11)</f>
        <v>113326.62</v>
      </c>
      <c r="E12" s="14" t="n">
        <f aca="false">E3-SUM(E4:E11)</f>
        <v>94005.21</v>
      </c>
      <c r="F12" s="14" t="n">
        <f aca="false">F3-SUM(F4:F11)</f>
        <v>171722.56</v>
      </c>
      <c r="G12" s="14" t="n">
        <f aca="false">G3-SUM(G4:G11)</f>
        <v>140792.05</v>
      </c>
      <c r="H12" s="14" t="n">
        <f aca="false">H3-SUM(H4:H11)</f>
        <v>159848.22</v>
      </c>
      <c r="I12" s="14" t="n">
        <f aca="false">I3-SUM(I4:I11)</f>
        <v>194416.47</v>
      </c>
      <c r="J12" s="14" t="n">
        <f aca="false">J3-SUM(J4:J11)</f>
        <v>111664.79</v>
      </c>
      <c r="K12" s="14" t="n">
        <f aca="false">SUM(B12:J12)</f>
        <v>1249069.48</v>
      </c>
    </row>
    <row r="13" customFormat="false" ht="15" hidden="false" customHeight="false" outlineLevel="0" collapsed="false">
      <c r="A13" s="13" t="s">
        <v>1180</v>
      </c>
      <c r="B13" s="14" t="n">
        <f aca="false">B2+B12</f>
        <v>564697.68</v>
      </c>
      <c r="C13" s="14" t="n">
        <f aca="false">C2+C12</f>
        <v>675293.56</v>
      </c>
      <c r="D13" s="14" t="n">
        <f aca="false">D2+D12</f>
        <v>788620.18</v>
      </c>
      <c r="E13" s="14" t="n">
        <f aca="false">E2+E12</f>
        <v>882625.39</v>
      </c>
      <c r="F13" s="14" t="n">
        <f aca="false">F2+F12</f>
        <v>1054347.95</v>
      </c>
      <c r="G13" s="14" t="n">
        <f aca="false">G2+G12</f>
        <v>1195140</v>
      </c>
      <c r="H13" s="14" t="n">
        <f aca="false">H2+H12</f>
        <v>1354988.22</v>
      </c>
      <c r="I13" s="14" t="n">
        <f aca="false">I2+I12</f>
        <v>1549404.69</v>
      </c>
      <c r="J13" s="14" t="n">
        <f aca="false">J2+J12</f>
        <v>1661069.48</v>
      </c>
      <c r="K13" s="14" t="n">
        <f aca="false">J13</f>
        <v>1661069.48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4" t="s">
        <v>1181</v>
      </c>
      <c r="B1" s="4" t="s">
        <v>1182</v>
      </c>
      <c r="C1" s="4" t="s">
        <v>1183</v>
      </c>
    </row>
    <row r="2" customFormat="false" ht="15" hidden="false" customHeight="false" outlineLevel="0" collapsed="false">
      <c r="A2" s="5" t="s">
        <v>1184</v>
      </c>
      <c r="B2" s="15" t="n">
        <v>0.25</v>
      </c>
      <c r="C2" s="5" t="s">
        <v>1185</v>
      </c>
    </row>
    <row r="3" customFormat="false" ht="15" hidden="false" customHeight="false" outlineLevel="0" collapsed="false">
      <c r="A3" s="5" t="s">
        <v>1186</v>
      </c>
      <c r="B3" s="15" t="n">
        <v>0.15</v>
      </c>
      <c r="C3" s="5" t="s">
        <v>1187</v>
      </c>
    </row>
    <row r="4" customFormat="false" ht="15" hidden="false" customHeight="false" outlineLevel="0" collapsed="false">
      <c r="A4" s="5" t="s">
        <v>1188</v>
      </c>
      <c r="B4" s="16" t="n">
        <v>42500</v>
      </c>
      <c r="C4" s="5" t="s">
        <v>1189</v>
      </c>
    </row>
    <row r="5" customFormat="false" ht="15" hidden="false" customHeight="false" outlineLevel="0" collapsed="false">
      <c r="A5" s="5" t="s">
        <v>1190</v>
      </c>
      <c r="B5" s="16" t="n">
        <v>204000</v>
      </c>
      <c r="C5" s="5" t="s">
        <v>1191</v>
      </c>
    </row>
    <row r="6" customFormat="false" ht="15" hidden="false" customHeight="false" outlineLevel="0" collapsed="false">
      <c r="A6" s="5" t="s">
        <v>1192</v>
      </c>
      <c r="B6" s="16" t="n">
        <v>45</v>
      </c>
      <c r="C6" s="5" t="s">
        <v>1193</v>
      </c>
    </row>
    <row r="7" customFormat="false" ht="15" hidden="false" customHeight="false" outlineLevel="0" collapsed="false">
      <c r="A7" s="5" t="s">
        <v>1194</v>
      </c>
      <c r="B7" s="15" t="n">
        <v>0.055</v>
      </c>
      <c r="C7" s="5" t="s">
        <v>1195</v>
      </c>
    </row>
    <row r="8" customFormat="false" ht="15" hidden="false" customHeight="false" outlineLevel="0" collapsed="false">
      <c r="A8" s="5" t="s">
        <v>1196</v>
      </c>
      <c r="B8" s="15" t="n">
        <v>0.2</v>
      </c>
      <c r="C8" s="5" t="s">
        <v>65</v>
      </c>
    </row>
    <row r="9" customFormat="false" ht="15" hidden="false" customHeight="false" outlineLevel="0" collapsed="false">
      <c r="A9" s="5" t="s">
        <v>1197</v>
      </c>
      <c r="B9" s="16" t="n">
        <v>45</v>
      </c>
      <c r="C9" s="5" t="s">
        <v>1193</v>
      </c>
    </row>
    <row r="10" customFormat="false" ht="15" hidden="false" customHeight="false" outlineLevel="0" collapsed="false">
      <c r="A10" s="5" t="s">
        <v>1198</v>
      </c>
      <c r="B10" s="16" t="n">
        <v>620000</v>
      </c>
      <c r="C10" s="5" t="s">
        <v>1199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2026-10-10T13:51:45Z</dcterms:created>
  <dc:creator>openpyxl</dc:creator>
  <dc:description/>
  <dc:language>en-US</dc:language>
  <cp:lastModifiedBy/>
  <dcterms:modified xsi:type="dcterms:W3CDTF">2026-10-10T13:51:45Z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